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Robles\Desktop\"/>
    </mc:Choice>
  </mc:AlternateContent>
  <xr:revisionPtr revIDLastSave="0" documentId="8_{C32800C4-830D-4E05-88D5-0325083F3C6C}" xr6:coauthVersionLast="47" xr6:coauthVersionMax="47" xr10:uidLastSave="{00000000-0000-0000-0000-000000000000}"/>
  <bookViews>
    <workbookView xWindow="-120" yWindow="-120" windowWidth="38640" windowHeight="21120" xr2:uid="{277C0A17-0BA9-46B8-A68C-725C3AA281C4}"/>
  </bookViews>
  <sheets>
    <sheet name="INFORM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  <c r="B27" i="1"/>
  <c r="D27" i="1"/>
  <c r="C13" i="1"/>
  <c r="B13" i="1"/>
  <c r="D13" i="1"/>
</calcChain>
</file>

<file path=xl/sharedStrings.xml><?xml version="1.0" encoding="utf-8"?>
<sst xmlns="http://schemas.openxmlformats.org/spreadsheetml/2006/main" count="26" uniqueCount="13">
  <si>
    <t>ACTUALIZADO</t>
  </si>
  <si>
    <t>DESACTUALIZADO</t>
  </si>
  <si>
    <t>Total general</t>
  </si>
  <si>
    <t>Agencia</t>
  </si>
  <si>
    <t>7. La dorada</t>
  </si>
  <si>
    <t>4. La Hormiga</t>
  </si>
  <si>
    <t>1. Mocoa</t>
  </si>
  <si>
    <t>5. Orito</t>
  </si>
  <si>
    <t>3. Puerto Asis</t>
  </si>
  <si>
    <t>6. Puerto Lequizamo</t>
  </si>
  <si>
    <t>2. Sibundoy</t>
  </si>
  <si>
    <t>8. Villagarzon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</si>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</sst>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D3DA7-7F0D-44EF-A3D3-3A64A1F5E5C5}" name="Tabla1" displayName="Tabla1" ref="A4:D13" totalsRowCount="1">
  <autoFilter ref="A4:D12" xr:uid="{044D3DA7-7F0D-44EF-A3D3-3A64A1F5E5C5}"/>
  <sortState xmlns:xlrd2="http://schemas.microsoft.com/office/spreadsheetml/2017/richdata2" ref="A5:D12">
    <sortCondition ref="A4:A12"/>
  </sortState>
  <tableColumns count="4">
    <tableColumn id="1" xr3:uid="{8796156B-571A-4BBA-B475-95D0A616A61D}" name="Agencia" totalsRowLabel="Total"/>
    <tableColumn id="2" xr3:uid="{92D10CD8-096B-464A-BCBF-5635D21D6C68}" name="ACTUALIZADO" totalsRowFunction="sum"/>
    <tableColumn id="3" xr3:uid="{E1CC39D1-F39B-4385-A51D-9BCA3E385F6A}" name="DESACTUALIZADO" totalsRowFunction="sum"/>
    <tableColumn id="4" xr3:uid="{5F1222EE-31F6-4FE3-AFF7-BAA14AC1DB4E}" name="Total general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7E7901-6B0F-49D9-8AA5-0565F925C7C9}" name="Tabla2" displayName="Tabla2" ref="A18:D27" totalsRowCount="1">
  <autoFilter ref="A18:D26" xr:uid="{6F7E7901-6B0F-49D9-8AA5-0565F925C7C9}"/>
  <sortState xmlns:xlrd2="http://schemas.microsoft.com/office/spreadsheetml/2017/richdata2" ref="A19:D26">
    <sortCondition ref="A18:A26"/>
  </sortState>
  <tableColumns count="4">
    <tableColumn id="1" xr3:uid="{6DCE67B2-2C20-45DF-B3F1-683FA74F5929}" name="Agencia" totalsRowLabel="Total"/>
    <tableColumn id="2" xr3:uid="{08064F2D-8552-43D1-883E-24954D7C9DEA}" name="ACTUALIZADO" totalsRowFunction="sum" dataDxfId="2" dataCellStyle="Porcentaje"/>
    <tableColumn id="3" xr3:uid="{5DC571F2-55C1-42E3-B714-FEFE2D70761C}" name="DESACTUALIZADO" totalsRowFunction="sum" dataDxfId="1" dataCellStyle="Porcentaje"/>
    <tableColumn id="4" xr3:uid="{F9DFF79C-0441-4C5B-8156-F3105B4F50F6}" name="Total general" totalsRowFunction="sum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510D-4449-48CA-80EC-DDD4A6A4A525}">
  <dimension ref="A4:D27"/>
  <sheetViews>
    <sheetView tabSelected="1" workbookViewId="0">
      <selection activeCell="G21" sqref="G21"/>
    </sheetView>
  </sheetViews>
  <sheetFormatPr baseColWidth="10" defaultRowHeight="12.75" x14ac:dyDescent="0.2"/>
  <cols>
    <col min="1" max="1" width="17.7109375" customWidth="1"/>
    <col min="2" max="2" width="16.140625" customWidth="1"/>
    <col min="3" max="3" width="19.85546875" customWidth="1"/>
    <col min="4" max="4" width="15.28515625" customWidth="1"/>
  </cols>
  <sheetData>
    <row r="4" spans="1:4" x14ac:dyDescent="0.2">
      <c r="A4" t="s">
        <v>3</v>
      </c>
      <c r="B4" t="s">
        <v>0</v>
      </c>
      <c r="C4" t="s">
        <v>1</v>
      </c>
      <c r="D4" t="s">
        <v>2</v>
      </c>
    </row>
    <row r="5" spans="1:4" x14ac:dyDescent="0.2">
      <c r="A5" t="s">
        <v>6</v>
      </c>
      <c r="B5">
        <v>2932</v>
      </c>
      <c r="C5">
        <v>2026</v>
      </c>
      <c r="D5">
        <v>4958</v>
      </c>
    </row>
    <row r="6" spans="1:4" x14ac:dyDescent="0.2">
      <c r="A6" t="s">
        <v>10</v>
      </c>
      <c r="B6">
        <v>1191</v>
      </c>
      <c r="C6">
        <v>906</v>
      </c>
      <c r="D6">
        <v>2097</v>
      </c>
    </row>
    <row r="7" spans="1:4" x14ac:dyDescent="0.2">
      <c r="A7" t="s">
        <v>8</v>
      </c>
      <c r="B7">
        <v>2322</v>
      </c>
      <c r="C7">
        <v>2263</v>
      </c>
      <c r="D7">
        <v>4585</v>
      </c>
    </row>
    <row r="8" spans="1:4" x14ac:dyDescent="0.2">
      <c r="A8" t="s">
        <v>5</v>
      </c>
      <c r="B8">
        <v>2009</v>
      </c>
      <c r="C8">
        <v>1549</v>
      </c>
      <c r="D8">
        <v>3558</v>
      </c>
    </row>
    <row r="9" spans="1:4" x14ac:dyDescent="0.2">
      <c r="A9" t="s">
        <v>7</v>
      </c>
      <c r="B9">
        <v>1262</v>
      </c>
      <c r="C9">
        <v>1035</v>
      </c>
      <c r="D9">
        <v>2297</v>
      </c>
    </row>
    <row r="10" spans="1:4" x14ac:dyDescent="0.2">
      <c r="A10" t="s">
        <v>9</v>
      </c>
      <c r="B10">
        <v>947</v>
      </c>
      <c r="C10">
        <v>760</v>
      </c>
      <c r="D10">
        <v>1707</v>
      </c>
    </row>
    <row r="11" spans="1:4" x14ac:dyDescent="0.2">
      <c r="A11" t="s">
        <v>4</v>
      </c>
      <c r="B11">
        <v>887</v>
      </c>
      <c r="C11">
        <v>540</v>
      </c>
      <c r="D11">
        <v>1427</v>
      </c>
    </row>
    <row r="12" spans="1:4" x14ac:dyDescent="0.2">
      <c r="A12" t="s">
        <v>11</v>
      </c>
      <c r="B12">
        <v>869</v>
      </c>
      <c r="C12">
        <v>546</v>
      </c>
      <c r="D12">
        <v>1415</v>
      </c>
    </row>
    <row r="13" spans="1:4" x14ac:dyDescent="0.2">
      <c r="A13" t="s">
        <v>12</v>
      </c>
      <c r="B13">
        <f>SUBTOTAL(109,Tabla1[ACTUALIZADO])</f>
        <v>12419</v>
      </c>
      <c r="C13">
        <f>SUBTOTAL(109,Tabla1[DESACTUALIZADO])</f>
        <v>9625</v>
      </c>
      <c r="D13">
        <f>SUBTOTAL(109,Tabla1[Total general])</f>
        <v>22044</v>
      </c>
    </row>
    <row r="18" spans="1:4" x14ac:dyDescent="0.2">
      <c r="A18" t="s">
        <v>3</v>
      </c>
      <c r="B18" t="s">
        <v>0</v>
      </c>
      <c r="C18" t="s">
        <v>1</v>
      </c>
      <c r="D18" t="s">
        <v>2</v>
      </c>
    </row>
    <row r="19" spans="1:4" x14ac:dyDescent="0.2">
      <c r="A19" t="s">
        <v>6</v>
      </c>
      <c r="B19" s="1">
        <v>0.13300671384503721</v>
      </c>
      <c r="C19" s="1">
        <v>9.1907094901106878E-2</v>
      </c>
      <c r="D19" s="1">
        <v>0.22491380874614408</v>
      </c>
    </row>
    <row r="20" spans="1:4" x14ac:dyDescent="0.2">
      <c r="A20" t="s">
        <v>10</v>
      </c>
      <c r="B20" s="1">
        <v>5.4028307022318998E-2</v>
      </c>
      <c r="C20" s="1">
        <v>4.109961894393032E-2</v>
      </c>
      <c r="D20" s="1">
        <v>9.5127925966249319E-2</v>
      </c>
    </row>
    <row r="21" spans="1:4" x14ac:dyDescent="0.2">
      <c r="A21" t="s">
        <v>8</v>
      </c>
      <c r="B21" s="1">
        <v>0.10533478497550354</v>
      </c>
      <c r="C21" s="1">
        <v>0.10265831972418799</v>
      </c>
      <c r="D21" s="1">
        <v>0.20799310469969154</v>
      </c>
    </row>
    <row r="22" spans="1:4" x14ac:dyDescent="0.2">
      <c r="A22" t="s">
        <v>5</v>
      </c>
      <c r="B22" s="1">
        <v>9.1135909998185452E-2</v>
      </c>
      <c r="C22" s="1">
        <v>7.0268553801487929E-2</v>
      </c>
      <c r="D22" s="1">
        <v>0.16140446379967338</v>
      </c>
    </row>
    <row r="23" spans="1:4" x14ac:dyDescent="0.2">
      <c r="A23" t="s">
        <v>7</v>
      </c>
      <c r="B23" s="1">
        <v>5.7249138087461439E-2</v>
      </c>
      <c r="C23" s="1">
        <v>4.6951551442569406E-2</v>
      </c>
      <c r="D23" s="1">
        <v>0.10420068953003085</v>
      </c>
    </row>
    <row r="24" spans="1:4" x14ac:dyDescent="0.2">
      <c r="A24" t="s">
        <v>9</v>
      </c>
      <c r="B24" s="1">
        <v>4.2959535474505532E-2</v>
      </c>
      <c r="C24" s="1">
        <v>3.4476501542369808E-2</v>
      </c>
      <c r="D24" s="1">
        <v>7.7436037016875334E-2</v>
      </c>
    </row>
    <row r="25" spans="1:4" x14ac:dyDescent="0.2">
      <c r="A25" t="s">
        <v>4</v>
      </c>
      <c r="B25" s="1">
        <v>4.0237706405371075E-2</v>
      </c>
      <c r="C25" s="1">
        <v>2.4496461622210124E-2</v>
      </c>
      <c r="D25" s="1">
        <v>6.4734168027581196E-2</v>
      </c>
    </row>
    <row r="26" spans="1:4" x14ac:dyDescent="0.2">
      <c r="A26" t="s">
        <v>11</v>
      </c>
      <c r="B26" s="1">
        <v>3.9421157684630739E-2</v>
      </c>
      <c r="C26" s="1">
        <v>2.4768644529123571E-2</v>
      </c>
      <c r="D26" s="1">
        <v>6.418980221375431E-2</v>
      </c>
    </row>
    <row r="27" spans="1:4" x14ac:dyDescent="0.2">
      <c r="A27" t="s">
        <v>12</v>
      </c>
      <c r="B27" s="1">
        <f>SUBTOTAL(109,Tabla2[ACTUALIZADO])</f>
        <v>0.56337325349301404</v>
      </c>
      <c r="C27" s="1">
        <f>SUBTOTAL(109,Tabla2[DESACTUALIZADO])</f>
        <v>0.43662674650698607</v>
      </c>
      <c r="D27" s="1">
        <f>SUBTOTAL(109,Tabla2[Total general])</f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COOTEP</dc:creator>
  <cp:lastModifiedBy>SISTEMAS COOTEP</cp:lastModifiedBy>
  <dcterms:created xsi:type="dcterms:W3CDTF">2026-05-08T16:08:10Z</dcterms:created>
  <dcterms:modified xsi:type="dcterms:W3CDTF">2026-05-08T16:10:09Z</dcterms:modified>
</cp:coreProperties>
</file>