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MSugklCXf7C6nE7_IJCgWzpRNI-UYqNt\ASISTENTE DE CONTABILIDADA Y FINANZAS\ARCHIVOS AÑO 2026\IMPUESTOS\RETE ICA\1. ALCALDIA MOCOA doc\exogena reteica ag 2025\"/>
    </mc:Choice>
  </mc:AlternateContent>
  <xr:revisionPtr revIDLastSave="0" documentId="13_ncr:9_{643AFAB9-5B77-4410-BD4B-6A79FBEC451C}" xr6:coauthVersionLast="47" xr6:coauthVersionMax="47" xr10:uidLastSave="{00000000-0000-0000-0000-000000000000}"/>
  <bookViews>
    <workbookView xWindow="-120" yWindow="-120" windowWidth="29040" windowHeight="15840" activeTab="3" xr2:uid="{34DF4D1C-5A79-4EE8-84AB-98AE73A59187}"/>
  </bookViews>
  <sheets>
    <sheet name="2448 2025" sheetId="1" r:id="rId1"/>
    <sheet name="MOCOAA" sheetId="3" r:id="rId2"/>
    <sheet name="mocoa" sheetId="2" r:id="rId3"/>
    <sheet name="TERCEROS TODOS" sheetId="5" r:id="rId4"/>
  </sheets>
  <definedNames>
    <definedName name="_xlnm._FilterDatabase" localSheetId="0" hidden="1">'2448 2025'!$A$1:$U$1</definedName>
    <definedName name="_xlnm._FilterDatabase" localSheetId="2" hidden="1">mocoa!$A$1:$U$93</definedName>
    <definedName name="_xlnm._FilterDatabase" localSheetId="3" hidden="1">'TERCEROS TODOS'!$A$1:$L$1</definedName>
  </definedNames>
  <calcPr calcId="0"/>
  <pivotCaches>
    <pivotCache cacheId="3" r:id="rId5"/>
  </pivotCaches>
</workbook>
</file>

<file path=xl/calcChain.xml><?xml version="1.0" encoding="utf-8"?>
<calcChain xmlns="http://schemas.openxmlformats.org/spreadsheetml/2006/main">
  <c r="C29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F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" i="3"/>
  <c r="E4" i="3"/>
  <c r="F6" i="3"/>
  <c r="F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5" i="3"/>
  <c r="C6" i="3"/>
  <c r="C7" i="3"/>
  <c r="C8" i="3"/>
  <c r="C9" i="3"/>
  <c r="C10" i="3"/>
  <c r="C11" i="3"/>
  <c r="C12" i="3"/>
  <c r="C13" i="3"/>
  <c r="C14" i="3"/>
  <c r="C4" i="3"/>
  <c r="O95" i="2"/>
  <c r="P95" i="2"/>
</calcChain>
</file>

<file path=xl/sharedStrings.xml><?xml version="1.0" encoding="utf-8"?>
<sst xmlns="http://schemas.openxmlformats.org/spreadsheetml/2006/main" count="5139" uniqueCount="1163">
  <si>
    <t>TIP DOC.</t>
  </si>
  <si>
    <t>NUM.DOC</t>
  </si>
  <si>
    <t>FECHA_MOV</t>
  </si>
  <si>
    <t>SUC.</t>
  </si>
  <si>
    <t>SUC. DET</t>
  </si>
  <si>
    <t>C_COSTO</t>
  </si>
  <si>
    <t>NOM_CCOSTO</t>
  </si>
  <si>
    <t>TIPO DCR.</t>
  </si>
  <si>
    <t>NUM_DCR</t>
  </si>
  <si>
    <t>CUENTA</t>
  </si>
  <si>
    <t>NOM_CUENTA</t>
  </si>
  <si>
    <t>NIT O C.C.</t>
  </si>
  <si>
    <t>NOMBRE TERCERO</t>
  </si>
  <si>
    <t>BASES_IMP</t>
  </si>
  <si>
    <t>DEBITOS</t>
  </si>
  <si>
    <t>CREDITOS</t>
  </si>
  <si>
    <t>MOVIMIENTO</t>
  </si>
  <si>
    <t>USUARIO</t>
  </si>
  <si>
    <t>AÑO</t>
  </si>
  <si>
    <t>NIT O C.C. TERC</t>
  </si>
  <si>
    <t>NOMBRE TERC</t>
  </si>
  <si>
    <t>CO</t>
  </si>
  <si>
    <t>Default</t>
  </si>
  <si>
    <t>Rte Ica Servicios Orito</t>
  </si>
  <si>
    <t xml:space="preserve">ALCALDIA MUNICIPAL ORITO   </t>
  </si>
  <si>
    <t xml:space="preserve">PAGO SUMINISTRO DE REFRIGERIO Y ALMUERZO PARA REUNION INFORMATIVA  Y ELECCION DELEGADOS DIA SABADO 22  FACTURA FEC-27 </t>
  </si>
  <si>
    <t>YRODRI</t>
  </si>
  <si>
    <t xml:space="preserve">BUITRON GOMEZ SUNILDE </t>
  </si>
  <si>
    <t>ICA Servicios Puerto Asis</t>
  </si>
  <si>
    <t xml:space="preserve">MUNICIPIO DE PUERTO ASIS   </t>
  </si>
  <si>
    <t xml:space="preserve">COTABILIZACION PAGO A ALCALDIA DE PTO ASIS NIT 891200461 POR RETENCION DE INDUSTRIA Y COMERCIO PRACTICADAS EL MES DE FEBRERO DE 2025 </t>
  </si>
  <si>
    <t>ANARVA</t>
  </si>
  <si>
    <t>Servicios Villagarzón</t>
  </si>
  <si>
    <t xml:space="preserve">ALCALDIA DE VILLAGARZON   </t>
  </si>
  <si>
    <t xml:space="preserve">COTABILIZACION PAGO A ALCALDIA DE VILLAGARZON NIT 800054249 POR RETENCION DE INDUSTRIA Y COMERCIO PRACTICADAS EL MES DE FEBRERO DE 2025 </t>
  </si>
  <si>
    <t>Servicios</t>
  </si>
  <si>
    <t xml:space="preserve">ALCALDIA DE MOCOA   </t>
  </si>
  <si>
    <t xml:space="preserve">PAGO FACTURA HSMC1738 A HYDRA SOLUCIONES EMPRESARIALES NIT 900437268 POR SERVICIO DE INTERNET COMERCIAL MES DE JULIO 2025 EN LA AGENCIA DE MOCOA </t>
  </si>
  <si>
    <t>HPARRA</t>
  </si>
  <si>
    <t xml:space="preserve">HYDRA SOLUCIONES EMPRESARIALES INGENIERIA SAS   </t>
  </si>
  <si>
    <t xml:space="preserve">PADO DOC SOP 1DSE1291 A WILDER VINASO CARVAJAL CC 1122726016 POR PRESTACION DE SERVICIOS REALIZACION DE DIVISIONES EN ALUMINIO E INSTALACION DE CIELO RASO EN PVC EN AGENCIA MOCOA </t>
  </si>
  <si>
    <t xml:space="preserve">VINASCO CARVAJAL WILDER </t>
  </si>
  <si>
    <t xml:space="preserve">CONTABILIZACION PAGO ALCALDIA DE MOCOA NIT800102891 POR RETENCION DE INDUSTRIA Y COMERCIO PRACTICADAS EN EL MAS DE JULIO DE 2025 </t>
  </si>
  <si>
    <t xml:space="preserve">PAGO FACTURA SERF985 A SERLOGYC NIT900579315 POR ACCESO AL SOFTWARE DE GESTION DE INFRORMUM FINANCIERA INN REPORT DURANTE EL MES DE NOVIEMBRE 2025 </t>
  </si>
  <si>
    <t xml:space="preserve">SERVICIOS LOGISTICA Y COMERCIALIZACION SOCIEDAD POR ACCIONES SIMPLIFICADA   </t>
  </si>
  <si>
    <t xml:space="preserve">PAGO A ALCALDIA DEL MUNICIPIO DE MOCOA NIT 800102891 POR RETENCION DE INDUSTRIA Y COMERCIO MES DE MARZO 2025 </t>
  </si>
  <si>
    <t>RteIcaComprasSibundoy</t>
  </si>
  <si>
    <t xml:space="preserve">ALCALDIA MUNICIPAL SIBUNDOY   </t>
  </si>
  <si>
    <t xml:space="preserve">Contabilizacion por compra de papeleria y utiles de oficina para agencia Sibundoy  </t>
  </si>
  <si>
    <t>HBURBA</t>
  </si>
  <si>
    <t>GUERRA SANCHEZ CARLOS ARTEMIO</t>
  </si>
  <si>
    <t xml:space="preserve">PAGO FACTURA HSMC 1432 A HYDRA SOLUCIONES EMPRESARIALES INGENIERIA SAS NIT 900437268 POR SERVICIO DE INTERNET AGENCIA MOCOA MES DE ABRIL 2025 </t>
  </si>
  <si>
    <t>Rte Ica San Miguel Servicios</t>
  </si>
  <si>
    <t xml:space="preserve">ALCALDIA MUNICIPAL DE  SAN MIGUEL   </t>
  </si>
  <si>
    <t xml:space="preserve">PAGO FACTURA NETS79631 A   NET I.S.P S.A.S NIT 900502634 POR SERVICIO DE INTERNET DEDICADO E IP PUBLICA MES DE ENERO DE 2025 AGENCIA LA DORADA </t>
  </si>
  <si>
    <t xml:space="preserve">NET I.S.P S.A.S   </t>
  </si>
  <si>
    <t>Rte Ica Compras Hormiga</t>
  </si>
  <si>
    <t xml:space="preserve">ALCALDIA MUNICIPAL VALLE DEL GUAMUEZ   </t>
  </si>
  <si>
    <t xml:space="preserve">CONT COMPRA DE REFRIGERIO PARA CINE NIÑOS AGENCIA LA HORMIGA  </t>
  </si>
  <si>
    <t>ASEGUR</t>
  </si>
  <si>
    <t>ZAMBRANO CORAL LISIMACO SALOMON</t>
  </si>
  <si>
    <t xml:space="preserve">PAGO A ALCALDIA DE MOCOA NIT 800102891 POR RETENCION MENSUAL DE INDUSTRIA Y COMERCIO Y/O RTE. ICA MES OCTUBRE AÑO 2025 </t>
  </si>
  <si>
    <t xml:space="preserve">PAGO FACTURA HSMC 2740 A HSE INGENIRIA NIT 900437268 POR SERVICIO DE INTERNER PLAN COMERCIAL E IP PUBLICA AGENCIA MOCOA MES DE DICIEMBRE 2025 </t>
  </si>
  <si>
    <t>LEGALIZA  ANTICIPO  CO 7000208 CENA NAVIDEÑA COLABORADORES 19/12/2025 SG OFI DE GEREN No 637 DEL 11 DE DIC 25 POR COOR OPERDAVID SOLARTE CC 1126453097 CEL. 3117091144 SEG FACTURA 6</t>
  </si>
  <si>
    <t>YORDON</t>
  </si>
  <si>
    <t>GONZALEZ  NARGY LUCIA</t>
  </si>
  <si>
    <t>Rte Ica Servicios Hormiga</t>
  </si>
  <si>
    <t xml:space="preserve">PAGO FACTURA HO77757 A NOVACOMTIC NIT 900620983 POR SERVICIO DEI NTERNET STAR 40GM MES DE FEBRERO 2025 EN LA AGENCIA DE PTO LEGUIZAMO </t>
  </si>
  <si>
    <t xml:space="preserve">NOVACOM TIC S.A.S   </t>
  </si>
  <si>
    <t xml:space="preserve">PAGO FACTURA FVD25 A URQUIJO CHAVES DUCARDO CC 18145427 POR SERVICIO DE REVISIORIA FISCAL COOTEP MES DE SEPTIEMBRE 2025 </t>
  </si>
  <si>
    <t>URQUIJO CHAVEZ DUCARDO JEMBER</t>
  </si>
  <si>
    <t xml:space="preserve">PAGO A EDGAR OVIDIO CASTILLO CC 79278081 POR SERVICIO MANTENIMIENTO CERRADURAS MECANICAS E INDUCCION DE CAMBIO DE CLAVES CERRADURAS MECANICAS Y DIGITALES MOCOA, ORITO PTO ASIS </t>
  </si>
  <si>
    <t>CASTILLO BALLESTEROS EDGAR OVIDIO</t>
  </si>
  <si>
    <t xml:space="preserve">PAGO A JAIME PORTILLA CERON CC 18130206 POR SERVICIO DE MANO DE OBRA EN PINTAR LAS INSTALACIONES DE COOTEP MOCOA Y ARREGLOS DE FILTRACION DE AGUA </t>
  </si>
  <si>
    <t xml:space="preserve">PORTILLA CERON JAIME </t>
  </si>
  <si>
    <t>RteIcaServiciosSibundoy</t>
  </si>
  <si>
    <t xml:space="preserve">Legalizacion anticipo refrigerios para novena navidad agencia sibundoy del 16 de diciembre </t>
  </si>
  <si>
    <t>SOLARTE PASCAL AIDA LUCIA</t>
  </si>
  <si>
    <t xml:space="preserve">CONTABILIZACION PAGO DE RETENCION DE INDUSTRIA Y COMERCIO A ALCALDIA DE SIBUNDOY NIT 891201645 RETEICA MES DE AGOSTO 2025 </t>
  </si>
  <si>
    <t>RteIca SanMiguel Compras</t>
  </si>
  <si>
    <t>LEGALI ANTICIPO CO 7000200 COMPRA ELEMENTOS LABOR SOCIAL ANCIANATO,  SG OFI CS No 04-2025 DEL 20/11/2025 POR JERSON SOLATE CC 1126453097 CEL. 3117091144 SEG SOPORTE Y FACTURAS 5*10</t>
  </si>
  <si>
    <t xml:space="preserve">PASCAL GUANGA NELLY </t>
  </si>
  <si>
    <t>ICA Compras  Puerto Asis</t>
  </si>
  <si>
    <t xml:space="preserve">LEGALIZACION DE CAJA MENOR SEGUN SOPORTES ADJUNTOS DEL 01 AL 31 DE ENERO DE 2025. </t>
  </si>
  <si>
    <t>CGAVIR</t>
  </si>
  <si>
    <t>TOVAR VALENCIA JESUS ANTONIO</t>
  </si>
  <si>
    <t xml:space="preserve">PAGO FACTURA SERF 789 A SERLOGYC NIT 900579315 POR SERVICIO DE CORRESPONSALIA MUNICIPIO DE VILLAGARGON MES DE JULIO 2025 </t>
  </si>
  <si>
    <t xml:space="preserve">PAGO FACTURA NETS96139 A NET ISP NIT 900502634 POR SERVICIO DE INTERNET COMERCIAL EN LA AGENCIA LA DORADA 2DA LINEA, LOS MESES DE MARZO - ABRIL - MAYO 2025 </t>
  </si>
  <si>
    <t xml:space="preserve">Contabilizacion por pagao capacitacion control de incendios, uso y manejo de extintores </t>
  </si>
  <si>
    <t xml:space="preserve">CUERPO BOMBEROS VOLUNTARIOS SIBUNDOY   </t>
  </si>
  <si>
    <t xml:space="preserve">LEGALIZA ANTICIPO  CO 7000164 PRESUPUESTO BINGO RECREATIVO TESORITOS COOTEP DEL 25/10/2025 SG OFI DAO No 076 DE 30/09/2025 SEGUN SOPORTES Y FACTURAS POR DAVID SOLARTE C 1126453097 </t>
  </si>
  <si>
    <t>CHAVES MUESES MARYELING YESENIA</t>
  </si>
  <si>
    <t xml:space="preserve">PAGO A ALCALDIA DE PTO ASISI POR RETENCION DE INDUSTRIA Y COMERCIO RETEICA MES DE ENERO 2025 </t>
  </si>
  <si>
    <t>NA</t>
  </si>
  <si>
    <t xml:space="preserve">CONT PAGO SERVICIO DE PAPELERIA Y FOTOCOPIAS MES ENERO 2025 </t>
  </si>
  <si>
    <t>VILLARREAL ROJAS CLAUDIA ELIZABET</t>
  </si>
  <si>
    <t xml:space="preserve">PAGO FACTURA FE226 A JOSE ANCIZAR OSPINA NIT 80274379 POR MANTENIMIENTO PREVENTIVO DE UPS EN LAS AGENCIAS </t>
  </si>
  <si>
    <t>OSPINA VARGAS JOSE ANCIZAR</t>
  </si>
  <si>
    <t xml:space="preserve">Contabilizacion por impresion tarjetas de presentacion asesores de microcredito sibundoy </t>
  </si>
  <si>
    <t>GONZALES VALLEJO WILSON MARTIN</t>
  </si>
  <si>
    <t xml:space="preserve">PAGO RETECION DE INDUSTRIA Y COMERCIO A ALCALDIA DE VALLE DEL GUAMEZ NIT 800102912 MES DE JUNIO 2025 </t>
  </si>
  <si>
    <t xml:space="preserve">CONTABILIZACION PAGO A EL PUNTO DE LAS TEJAS NIT 901452326 POR LA COMPRA DE TEJAS TRAPEZOIDAL, TORNILLOS Y LAMINAS GALVNANIZADAS PARA AGENCIA LA DORADA </t>
  </si>
  <si>
    <t xml:space="preserve">EL PUNTO DE LAS TEJAS S.A.S ZOMAC   </t>
  </si>
  <si>
    <t xml:space="preserve">CONT PAGO SERVICIO DE PUBLICIDAD RADIAL MES AGOSTO, RADIO LA BOCANA PROYECCION STEREO </t>
  </si>
  <si>
    <t>LUCERO BASTIDAS MIGUEL ANGEL</t>
  </si>
  <si>
    <t xml:space="preserve">PAGO FACTURA SERF950 A SERLOGYC NIT 900579315 POR CORRESPONSALIA MUNICIPIO DE VILLAGARZON MES DEN OVIEMBRE 2025 </t>
  </si>
  <si>
    <t>Compras</t>
  </si>
  <si>
    <t xml:space="preserve">CONTABILIZACION PAGO DE RETENCION DE INDUSTRIA Y COMERCIO A ALCALDIA DE MOCOA NIT 800102891 RETEICA MES DE AGOSTO 2025 </t>
  </si>
  <si>
    <t xml:space="preserve">PAGO FACTURA HSE-46057 A HYDRA SOLUCIONES EMPRESARIALES NIT 900437268 POR SERVICIO DE INTERNET DEIDCADO EN LA AGENCIA DE SIBUNDOY </t>
  </si>
  <si>
    <t xml:space="preserve">PAGO DOC SOPOR 1DSE1244 A CHAVES ACOSTA YULY FERNANDA CC 1010081868 POR PRESTACION DE SERVICIOS ELABORACION DE AFICHES Y VOLNATES PARA AREA DE MERCADEO </t>
  </si>
  <si>
    <t>CHAVES ACOSTA YULY FERNANDA</t>
  </si>
  <si>
    <t>CARVAJAL MORENO DEYANEDI MARISELA</t>
  </si>
  <si>
    <t xml:space="preserve">PAGO FACTURA HSE44510 A HSEINGENIERIA NIT 900437268 POR SERVICIO DE INTERNET MES DE JUNIO 2025 EN LA AGENCIA DE SIBUNDOY </t>
  </si>
  <si>
    <t>LEGA CO 7000104 BINGO DIA DEL PADRE Y DE A MADRE  21/06/2025 SG OFI DAO 040 DE 16/05/2025 SEGUN PLANILLAS, FACTURAS Y SOPORTES POR WILMER RENGIFO CC. 1088340787 CEL. 3133082077 5*1</t>
  </si>
  <si>
    <t>MORA MAMIAN JOSE LIBARDO</t>
  </si>
  <si>
    <t xml:space="preserve">PAGO FACTURA FVD-19 A URQUIJO CHAVEZ DUCARDO CC 18145427 POR SERVICIO DE REVISORIA FISCAL MES DE JUNIO 2025 </t>
  </si>
  <si>
    <t xml:space="preserve">PAGO RETECION DE INDUSTRIA Y COMERCIO A ALCALDIA DE MOCOA NIT 800102891 MES DE JUNIO 2025 </t>
  </si>
  <si>
    <t xml:space="preserve"> PAGO A ALCALDIA DE MOCOA NIT 800102891 POR RETENCION MENSUAL DE INDUSTRIA Y COMERCIO Y/O RTE. ICA MES NOVIEMBRE AÑO 2025</t>
  </si>
  <si>
    <t xml:space="preserve">PAGO FACTURA HO88553 A NOVACOM TIC NIT 900620983 POR SERVICIO DE INTERNET EN LA AGENCIA DE LA HORMIGAMES DE NOVIEMBRE 2025 </t>
  </si>
  <si>
    <t xml:space="preserve">PAGO A ALCALDIA DEL MUNICIPIO DE PUERTO ASIS NIT 891200461 RETENCION DE INDUSTRIA Y COMERCIO MES DE DICIEMBRE 2024 </t>
  </si>
  <si>
    <t xml:space="preserve">Pago desayunos para reunion informativa agencia Sibundoy del 22 de febrero </t>
  </si>
  <si>
    <t xml:space="preserve">COTABILIZACION PAGO A ALCALDIA DE ORITO NIT 800102896 POR RETENCION DE INDUSTRIA Y COMERCIO PRACTICADAS EL MES DE FEBRERO DE 2025 </t>
  </si>
  <si>
    <t xml:space="preserve">COTABILIZACION PAGO A ALCALDIA DE SIBUNDOY NIT 891201645 POR RETENCION DE INDUSTRIA Y COMERCIO PRACTICADAS EL MES DE ABRILDE 2025 </t>
  </si>
  <si>
    <t>Rte Ica Servicios Leguizamo</t>
  </si>
  <si>
    <t xml:space="preserve">ALCALDIA MUNICIPAL DE PUERTO LEGUIZAMO   </t>
  </si>
  <si>
    <t xml:space="preserve">PAGO SERVICIO DE ARRENDO OFICINA DE COOTEP MES DE MAYO 2025. ALA SEÑORA MARIA INES SANCHEZ GONZALEZ CC 26636874. </t>
  </si>
  <si>
    <t>MSANAB</t>
  </si>
  <si>
    <t>SANCHEZ GONZALEZ MARIA INES</t>
  </si>
  <si>
    <t xml:space="preserve">COTABILIZACION PAGO A ALCALDIA DE MOCOA NIT 800102891 POR RETENCION DE INDUSTRIA Y COMERCIO PRACTICADAS EL MES DE ABRIL DE 2025 </t>
  </si>
  <si>
    <t xml:space="preserve">PAGO FACTURA HO82484 A NOVACOM TIC NIT 900620983 POR SERVICIO DE INTERNET STAR EN LA AGENCIA DE PTO LEGUIZAMO MES DE JUNIO 2025 </t>
  </si>
  <si>
    <t xml:space="preserve">PAGO DE RETENCION DE INDUSTRIA Y COMERCIO A ALCALDIA DEL MUNICIPIO DE VILLA GARZON NIT 800054249 CORRESPONDIENTES AL MES DE SEPTIEMBRE 2025 </t>
  </si>
  <si>
    <t xml:space="preserve">PAGO DSE A SHAYD RUANO CC 1006663258 POR COMPRA O SUMINISTRO DE ELEMENTOS Y HERRAMIENTAS DE CABLEADO ESTRUCTURADO-SISTEMAS  </t>
  </si>
  <si>
    <t>RUANO RODRIGUEZ SHAYD AUGUSTO</t>
  </si>
  <si>
    <t>LEGALIZA ANTICIPO  CO 7000201 NOVENA NAVIDEÑA 18/12/2025 SG OFI GEREN No 603 DEL 21/11/2025  X ASESORA SERVICIOS LORENA PAZ CC 1006997143 CEL. 3125142630 SG  SOPORTES Y FACTURAS 6*</t>
  </si>
  <si>
    <t xml:space="preserve">GIRALDO ARISTIZABAL EDGAR </t>
  </si>
  <si>
    <t xml:space="preserve">PAGO DE FACTURA FE9096 A SIGO IPS NIT 900774181 POR EXAMENES DE INGRESO EN LA AGENCIA DE PTO LEGUIZAMO </t>
  </si>
  <si>
    <t xml:space="preserve">SOLUCIONES INTEGRALES EN GESTION OCUPACIONAL   </t>
  </si>
  <si>
    <t xml:space="preserve">PAGO A ALCALDIA DEL MUNICIPIO DE VSAN MIGUEL Y/O LA DORADA  NIT 800252922 POR RETENCION DE INDUSTRIA Y COMERCIO MES DE MARZO 2025 </t>
  </si>
  <si>
    <t xml:space="preserve">COTABILIZACION PAGO A ALCALDIA DE SIBUNDOY NIT 891201645 POR RETENCION DE INDUSTRIA Y COMERCIO PRACTICADAS EL MES DE FEBRERO DE 2025  </t>
  </si>
  <si>
    <t xml:space="preserve">PAGO FACTURA A HYDRA SOLUCIONES EMPRESARIALES INGENIRIA SAS NIT 900437268 POR SERVICIO DE INTERNET AGENCIA SIBUNDOY MES DE MARZO 2025 </t>
  </si>
  <si>
    <t>PAGO A ALCALDIA DE PUERTO LEGUIZAMO NIT 891200513 POR RETENCION MENSUAL DE INDUSTRIA Y COMERCIO Y/O RTE. ICA MES NOVIEMBRE AÑO 2025</t>
  </si>
  <si>
    <t xml:space="preserve">CONTABILIZACION PAGO DE RETENCION DE INDUSTRIA Y COMERCIO A ALCALDIA DE SAN MIGUEL Y/O LA DORADA RETEICA MES DE AGOSTO 2025 </t>
  </si>
  <si>
    <t xml:space="preserve">CONTABILIZACION PAGO DE RETENCION DE INDUSTRIA Y COMERCIO A ALCALDIA DEVALLE DEL GUAMEZ NIT 800102912 RETEICA MES DE AGOSTO 2025 </t>
  </si>
  <si>
    <t xml:space="preserve">CONT PAGO SERVICIO DE RESTAURANTE POR CELEBRACION DIA  DE AMOR AMISTAD COLAORADORES </t>
  </si>
  <si>
    <t>PALACIOS FLORES DIEGO HERNAN</t>
  </si>
  <si>
    <t xml:space="preserve">CONTABILIZACION REINTEGRO DE GASTOS DE CAJA MENOR A LUISA FERNANDA CUERO CC 1124855204 </t>
  </si>
  <si>
    <t>ERAZO ACOSTA LUIS ALEJANDRO</t>
  </si>
  <si>
    <t xml:space="preserve">PAGO FACTURA HSMC2470 A HSE INGENIERIA NIT 900437268 POR SERVICIO DE INTERNET COMERCIAL EN AGENCIA DE MOCOA POR 571.200 </t>
  </si>
  <si>
    <t xml:space="preserve">PAGO DE RETENCION DE INDUSTRIA Y COMERCIO A ALCALDIA DEL MUNICIPIO DE MOCOA NIT 800102891 CORRESPONDIENTES AL MES DE SEPTIEMBRE 2025 </t>
  </si>
  <si>
    <t xml:space="preserve">PAGO DE RETENCION DE INDUSTRIA Y COMERCIO A ALCALDIA DEL MUNICIPIO DE VALLE DEL GUAMEZ NIT 800102912 CORRESPONDIENTES AL MES DE SEPTIEMBRE 2025 </t>
  </si>
  <si>
    <t xml:space="preserve">LEGALIZACION DE GASTOS DIA DE NOVENA NAVIDEÑA AGENCIA PTO ASIS SEGUN OFICIO NO. 603 RESP MABEL GUERRERO </t>
  </si>
  <si>
    <t>FAGUIN</t>
  </si>
  <si>
    <t>ROJAS CHIMBORAZO JANIA ALEXANDRA</t>
  </si>
  <si>
    <t xml:space="preserve">PAGO A CRISTIAN ELDER RUA CC 18126313 POR REALIZACION DE AVALUO COMERCIAL AGENCIA LA DORADA  </t>
  </si>
  <si>
    <t>RUA CAMPAÑA CRISTIAN ELDER</t>
  </si>
  <si>
    <t xml:space="preserve">PAGO FACTURA HSE41124 A HYDRA SOLUCIONES EMPRESARIALES INGENIERIA SAS NIT 900437268 POR SERVICIO SE INTERNET EN LA AGENCIA DE SIBUNDOY MES DE ENERO 2025 </t>
  </si>
  <si>
    <t xml:space="preserve">PAGO DE FACTURAS FENY 672 - 673 - 676 - 677 A NEYIBE LINSEI CUELLAYUMBO NIT 1123317181 POR COMPRA DE REPUESTOS PARA IMPRESORAS Y SERVICIO DE MANTENIMIENTO EN LA HORMIGA Y DORADA </t>
  </si>
  <si>
    <t>CUELLAR YUMBO NAYIBE LINSEI</t>
  </si>
  <si>
    <t xml:space="preserve">PAGO FACTURA fev34 a RUIZ GONZALEZ LINSEY MARICEL CC 1124850208 POR COMPRA DE EQUIPOS INSTALADOS EN LA AGENCIA DE COOTEP SIBUNDOY </t>
  </si>
  <si>
    <t>RUIZ GONZALEZ LINSEY MARICEL</t>
  </si>
  <si>
    <t xml:space="preserve">COTABILIZACION PAGO A ALCALDIA DE PTO ASIS NIT 891200461 POR RETENCION DE INDUSTRIA Y COMERCIO PRACTICADAS EL MES DE ABRIL DE 2025 </t>
  </si>
  <si>
    <t xml:space="preserve">PAGO FACTURA HSMC 1524 A HYDRA SOLUCIONES EMPRESARIALES SAS NIT 900437268 PORE SERVIVIO DE INTERNET AGENCIA MOCOA MES DE MAYO 2025 </t>
  </si>
  <si>
    <t xml:space="preserve">LEGALIZACION CENA NAVIDEÑA 8 COLABORADORES AGENCIA PTO ASIS  FE-4358 </t>
  </si>
  <si>
    <t>GUINCHIN ESTRADA ALBA NORY</t>
  </si>
  <si>
    <t xml:space="preserve">CONT PAGO SERVICIO DE REFRIGERIOS ACTIVIDAD DE COMETAS 2025, AGENCIA LA HORMIGA </t>
  </si>
  <si>
    <t>JGUERR</t>
  </si>
  <si>
    <t>LOPEZ RAMIREZ ALBA CECILIA</t>
  </si>
  <si>
    <t xml:space="preserve">CONTABILIZACION LEGALIZACION ANTICIPO NOVENA NAVIDEÑA 16 DIC 2025 </t>
  </si>
  <si>
    <t>IVAROM</t>
  </si>
  <si>
    <t>BERMEO MUSTAFA ALIA SAMADI</t>
  </si>
  <si>
    <t xml:space="preserve">PAGO A GARZON JIMENEZ HIPOLITO CC 19199527 POR PRESTACION DE SERVICIOS POR AVALUO COMERCIAL EDIFICIO AGENCIA PTO ASIS </t>
  </si>
  <si>
    <t xml:space="preserve">GARZON JIMENEZ HIPOLITO </t>
  </si>
  <si>
    <t xml:space="preserve">PAGO DSE1568 A ESPAÑA BURBANO NOHORA ZORAIDA CC 41181655 POR PRESTACION DE SERVICIOS POR DICTAR CURSO DE MANUALIDADES AGENCIA DE LA HORMIGA Y LA DORADA </t>
  </si>
  <si>
    <t>ESPANA BURBANO NOHORA ZORAIDA</t>
  </si>
  <si>
    <t xml:space="preserve">PAGO DOC SOPORT 1DSE1253 A PATIÑO ALPALA LUIS CAMILO CC 12997019 POR REVISION DEL ESTADO DE LAS INTALACIONES COOTEP REVISION DE ACOMETIDA PRINCIPAL Y ELABORACION PLANOS ELECTRICOS </t>
  </si>
  <si>
    <t>PATIÑO ALPALA LUIS CAMILO</t>
  </si>
  <si>
    <t xml:space="preserve">DEP CTA PAGO SERVICIO DE FOTOCOPIAS Y PAPLERIA MES FEB Y MARZO AGENCIA LA HORMIGA </t>
  </si>
  <si>
    <t xml:space="preserve">PAGO FACTURA HO81308 A NOVACOM NIT 900620983 POR SERVICIO DE INTERNET MES MAYO 2025 DE LA AGENCIA DE LA HORMIGA </t>
  </si>
  <si>
    <t xml:space="preserve">COTABILIZACION PAGO A ALCALDIA DE LA DORADA NIT 800252922 POR RETENCION DE INDUSTRIA Y COMERCIO PRACTICADAS EL MES DE ABRILDE 2025 </t>
  </si>
  <si>
    <t xml:space="preserve">PAGO FACTURA SERF-713 A SERLOGYC NIT 900579315 POR SERVICIO DE CORRESPONSALIA MUNICIPIO DE VILLAGARZON MES DE MAYO DE 2025 </t>
  </si>
  <si>
    <t xml:space="preserve">compra elementos de vestuario para donacion centro de proteccion adultos mayores San Alfonso Maria de Ligorio Sibundoy </t>
  </si>
  <si>
    <t>LOPEZ ZAMBRANO ADRIANA MARCELA</t>
  </si>
  <si>
    <t xml:space="preserve">PAGO DE RETENCION DE INDUSTRIA Y COMERCIO A ALCALDIA DEL MUNICIPIO DE SAN MIGUEL NIT 800252922 CORRESPONDIENTES AL MES DE SEPTIEMBRE 2025 </t>
  </si>
  <si>
    <t xml:space="preserve">COMPRA DE EXTRACTOR , CABLES, CANALETA, MATERIALES  PARA INSTACION DE EXTRACTOR 2 PISO SEGUN FRA FEYG-11484. </t>
  </si>
  <si>
    <t xml:space="preserve">GONZALEZ GONZALEZ YURIBIA </t>
  </si>
  <si>
    <t xml:space="preserve">CONTABILIZACION PAGO DE RETENCION DE INDUSTRIA Y COMERCIO A ALCALDIA DE PUERTO ASIS NIT 891200461 RETEICA MES DE AGOSTO 2025 </t>
  </si>
  <si>
    <t>CONTABILIZAMOS PAGO DE SERVICIO DE PUBLICIDAD RADIAL MES DE DICIEMBRE 2025   SG CONTRATO 01-2025 DEL 17/03/2025 A ELKIN LUGO ENRIQUEZ M CC. 15572024 CEL. 3209018306 5*1000</t>
  </si>
  <si>
    <t>ENRIQUEZ MONTENEGRO ELKIN LUGO</t>
  </si>
  <si>
    <t xml:space="preserve">cont pago  servicio de isntalacion de pvc, agencia la Hormiga, se hace descuentode ley reteica </t>
  </si>
  <si>
    <t xml:space="preserve">BERMUDES BERMUDES OMAR </t>
  </si>
  <si>
    <t xml:space="preserve">PAGO A ALCALDIA DEL MUNICIPIO DE LA DORADA NIT 800252922 RETENCION DE INDUSTRIA Y COMERCIO MES DE DICIEMBRE 2024 </t>
  </si>
  <si>
    <t>Rte Ica Servicio Sibundoy</t>
  </si>
  <si>
    <t xml:space="preserve">PAGO SERVICIO DE CUÑA RADIAL, PERIFONEO Y ANIMACION EVENTO BINGO MADRES Y PADRES COOTEP </t>
  </si>
  <si>
    <t xml:space="preserve">COTABILIZACION PAGO A ALCALDIA DE VILLAGARZON NIT 800054249 POR RETENCION DE INDUSTRIA Y COMERCIO PRACTICADAS EL MES DE ABRILDE 2025 </t>
  </si>
  <si>
    <t xml:space="preserve">LEGALIZACION ANTICIPO A DIANA ACERO CC 69009123 PARA REALIZAR ACTIIVIDAD DE CAPACITACION DIRIGIDA A COLABORADORES COOTEP </t>
  </si>
  <si>
    <t xml:space="preserve">GORDILLO GUZMAN ALIPIO </t>
  </si>
  <si>
    <t xml:space="preserve">PAGO FACTURA FVD29 A DUCARDO JEMBER URQUIJO CC 18145427 POR SERVICIO DE REVISORIAFISCAL COOTEP MES DE OCTUBRE </t>
  </si>
  <si>
    <t xml:space="preserve">Contabilizacion refrigerios jornada de la tarde curso de manualidades 18 octubre Agencia Sibundoy </t>
  </si>
  <si>
    <t>BOTINA  ANA LUCIA</t>
  </si>
  <si>
    <t xml:space="preserve">Contabilización pago 1DSE1145 a Ingrid Yulieth Cifuentes cc1006696549 por concepto de servicio profesional en psicologia en pruebas de selección por $450.000 </t>
  </si>
  <si>
    <t>ANVER</t>
  </si>
  <si>
    <t>CIFUENTES AGATON INGRID YULIETH</t>
  </si>
  <si>
    <t xml:space="preserve">Contabilizacion compra 50 resmas papel y material de papeleria agencia sibundoy </t>
  </si>
  <si>
    <t xml:space="preserve">PAGO A ALCALDIA DE PUERTO ASIS NIT 891200461 POR RETENCIONES DE INDUSTRI Y COMERCIO MES DE MAYO 2025 </t>
  </si>
  <si>
    <t xml:space="preserve">PAGO FACTURA FE737 A NELSONFABIO ZAMBRANO CC 18127828 POR PAGO SERVICIO DE MONITOREO DE ALARMAS Y/O CAMARAS EN MOCOA Y AGENCIAS </t>
  </si>
  <si>
    <t>ZAMBRANO DUARTE NELSON FABIO</t>
  </si>
  <si>
    <t xml:space="preserve">POLANIA ROJAS WILLIAM </t>
  </si>
  <si>
    <t xml:space="preserve">PAGO FACTURA DO20940 A NOVACOM NIT 900620983 POR SERVICIO E INTERNET EMPRESARIAL E INTERNET DEDICADO EN LA AGENCIA DE LA DORADA MES DE JULIO 2025 </t>
  </si>
  <si>
    <t xml:space="preserve">PAGO FACTURA FEV-39 A RUIZ GONZALEZ LINSEY MARICEL NIT 1124850208 POR COMPRA DE EQUIPOS INSTALADOS EN LAS OFICINAS DE COOTEP MOCOA </t>
  </si>
  <si>
    <t xml:space="preserve">PAGO RETECION DE INDUSTRIA Y COMERCIO A ALCALDIA DE VILLA GARZON NIT 800054249 MES DE JUNIO 2025 </t>
  </si>
  <si>
    <t xml:space="preserve">PAGO COTIZACION FEM 8477 A EL PUNTO DE LAS TEJAS S.A.S ZOMAC NIT 901452326 POR COMPRA DE TEJAS Y ELEMETOS DE TECHO PARA LA AGENCIA DE SIBUNDOY. </t>
  </si>
  <si>
    <t xml:space="preserve">CONTABILIZACION LEGALIZACION ANTICIPO BINGO DE LAS MADRES Y PADRES AGENCIA MOCOA </t>
  </si>
  <si>
    <t>SOLARTE PALCHUCAN HENRY MAURICIO</t>
  </si>
  <si>
    <t xml:space="preserve">CONT PAGO DE MATERIALES PARA ADECUACION CIELO RASO EN PVC, AGENCIA LA HORMIGA, SE HACE DESCUENTOS DE LEY </t>
  </si>
  <si>
    <t xml:space="preserve">BERMUDEZ BERMUDEZ MAYELY </t>
  </si>
  <si>
    <t xml:space="preserve">PAGO FACTURA SERF830 A SERLOGYV NIT 900579315 POR SERVICIOS DE CORRESPNSALIA MUNICIPIO DE VILLAGARZON MES DE AGOSTO 2025  </t>
  </si>
  <si>
    <t xml:space="preserve">PAGO FACTURA DO18742 A NOVACOM NIT 900620983 POR SERVICIO DE INTERNET EMPRESARIA AGENCIA DE LA DORADA MES DE FEBRERO 2025 </t>
  </si>
  <si>
    <t xml:space="preserve">cont pago servico de fotocopias y papeleria mes abril 2025 agencia La Hormiga. </t>
  </si>
  <si>
    <t xml:space="preserve">PAGO FACTURA NETS96136 A NET ISP NIT 900502634 POR SERVICIO DE INTERNET COMERCIAL EN LA AGENCIA LA HORMIGA EL MES DE FEBRERO - MARZO - ABRIL Y MAYO 2025 </t>
  </si>
  <si>
    <t>Rte Ica Compras Orito</t>
  </si>
  <si>
    <t>PAGO A ALCALDIA DE ORITO NIT 800102896 POR RETENCION MENSUAL DE INDUSTRIA Y COMERCIO Y/O RTE. ICA MES OCTUBRE AÑO 2025</t>
  </si>
  <si>
    <t xml:space="preserve">LEGALIZACION DE GASTOS SUEÑOS AL VIENTO REALIZADO EL DIA 23 DE AGOSTO DE 2025 SEGUN OFIO DE SUBGERENCIA NO. 051 </t>
  </si>
  <si>
    <t xml:space="preserve">MACIAS COBO DAIRO </t>
  </si>
  <si>
    <t xml:space="preserve">ORDEN DE PAGO COMPRA DE MERCADOS NAVIDEÑOS AGENCIA PUERTO ASIS FE1790 PLAZA DEL SOL 65 MERCADOS </t>
  </si>
  <si>
    <t>ANDRADE ROSERO YOLDANY MAYERLI</t>
  </si>
  <si>
    <t xml:space="preserve">PAGO A MARTHA LUCIA ALVAREZ CC 4860028 POR PAGO REFRIGERIO CAPACITACION SARLAFT A COLABORADORES AGENCIA MOCOA </t>
  </si>
  <si>
    <t>ALVAREZ CAYCEDO MARTHA LUCIA</t>
  </si>
  <si>
    <t>PAGO PROYECTO DE MANUALIDAD Y MANO DE OBRA DENOMINADO PESEBRE NAVIDEÑO PARA ASOCIADOS DE COOTEP SEGUN APROBACION ANEXOS. ICA 5/1000 SERVICIOS MANUALIDADES</t>
  </si>
  <si>
    <t>ANDRADE BERNAL CLAUDIA MILENA</t>
  </si>
  <si>
    <t>cont arreglo de e impermabilizacion de humedad en piso de canal y tanque de agua, desmonte y monte cielo razo para tapar gotera, limpieza de sillas y cielo raso, agencia la Hormiga</t>
  </si>
  <si>
    <t xml:space="preserve">OCAMPO GONZALEZ VIRGILIO </t>
  </si>
  <si>
    <t xml:space="preserve">PAGO FACTURA FE-651 A ZAMBRANO DUARTE NELSON FABIO CC 18127828 POR SERVICIO DE MONITOREO DE ALARMAS Y CAMARAS DE VIGILANCIA MES FEBRERO 2025 </t>
  </si>
  <si>
    <t xml:space="preserve">LEGALIZACION ANTICIPO A ACERO CARRILLO DIANA ALEJANDRA CC 69009123 PARA ASAMBLEA GENENRAL DE DELEGADOS </t>
  </si>
  <si>
    <t>LOZANO CHANCHI FABIERLY JHOANA</t>
  </si>
  <si>
    <t xml:space="preserve">pago por perifoneo actividad Cine Cootep del 25 de abril en agencia Sibundoy </t>
  </si>
  <si>
    <t xml:space="preserve">LASSO CAICEDO GERARDO </t>
  </si>
  <si>
    <t>PAGO A ALCALDIA DE SIBUNDOY NIT 891201645 POR RETENCION MENSUAL DE INDUSTRIA Y COMERCIO Y/O RTE. ICA MES NOVIEMBRE AÑO 2025</t>
  </si>
  <si>
    <t xml:space="preserve">depcta pago servicio de publicidad radial mes septiembre 2025 adio la bocana de proyeccion stereo </t>
  </si>
  <si>
    <t xml:space="preserve">LEGALIZACION ANTICIPO  ORGANIZACION Y DESARROLLO REUNIONES INFORMATIVAS 2025 </t>
  </si>
  <si>
    <t xml:space="preserve">CONTABILIZACION PAGO TRANSPORTE DE CARGA FLUVIAL 600 TOALLAS DESDE PUERTO ASIS HASTA OFICINA PUERTO LEGUIZAMO A LA SEÑORA LEONOR MARROQUIN YEIGUAJE CC 69070447. </t>
  </si>
  <si>
    <t>NPIMEN</t>
  </si>
  <si>
    <t xml:space="preserve">MARROQUIN YEIGUAJE LEONOR </t>
  </si>
  <si>
    <t>RODRIGUEZ DIAZ OSCAR ANTONIO</t>
  </si>
  <si>
    <t xml:space="preserve">PAGO A ALCALDIA DE MOCOA NIT 800102891 POR RETENCIONES DE INDUSTRI Y COMERCIO MES DE MAYO 2025 </t>
  </si>
  <si>
    <t>PAGO A ALCALDIA DE SAN MIGUEL NIT 800252922 POR RETENCION MENSUAL DE INDUSTRIA Y COMERCIO Y/O RTE. ICA MES OCTUBRE AÑO 2025</t>
  </si>
  <si>
    <t xml:space="preserve">Contabilizacion pago por refrigerios recepcion actividad de integracion mes de septiembre agencia Sibundoy </t>
  </si>
  <si>
    <t xml:space="preserve">COTABILIZACION PAGO A ALCALDIA DE LEGUIZAMO NIT 891200513 POR RETENCION DE INDUSTRIA Y COMERCIO PRACTICADAS EL MES DE ABRIL DE 2025 </t>
  </si>
  <si>
    <t xml:space="preserve">PAGO A SHAYD AUGUSTO RUANO CC 1006663258 POR COMPRA DE 2 SET DE MEMORIA RAM CORSAIR-VENGENACE </t>
  </si>
  <si>
    <t xml:space="preserve">PAGO A ALCALDIA DE SIBUNDOY NIT 891201645  POR RETENCIONES DE INDUSTRI Y COMERCIO MES DE MAYO 2025 </t>
  </si>
  <si>
    <t>MANT Y REPA  AIRE ACONDICIONADO TIPO CASSETTE SALA DE ESPERA, MANTE  PREVENTIVO AIRE ACONDICIONADO MINISPLIT DIRECTORA AGENCIA POR JORGE SOLARTE CC. 1123331500 CEL.3209794629 5*100</t>
  </si>
  <si>
    <t>SOLARTE LAGOS JORGE ENRIQUE</t>
  </si>
  <si>
    <t xml:space="preserve">LEGALIZACION DE ANTICIPO A DANNY YULIETH TORRES CC 1117550697 PARA DESAROLLO ACTIVIDAD ACTIVIDAD DE BIENESTAR LABORAL SEGUN CONOGRAMA </t>
  </si>
  <si>
    <t xml:space="preserve">NHOMADA RECETAS DEL MUNDO SAS ZOMAC   </t>
  </si>
  <si>
    <t xml:space="preserve">PAGO FACTURA 610897 A IPS PREVENIR NIT 90021971 SIBUNDOY POR EXAMANES DE INGRESO  Y SALID REMPLAZOS DE LA AGENCIA DE SIBUNDOY </t>
  </si>
  <si>
    <t xml:space="preserve">IPS PREVENIR SIBUNDOY1   </t>
  </si>
  <si>
    <t xml:space="preserve">PAGO FACTURA NETS49622 A NET ISP NIT 900502634 POR SERVICIO DE INTERNET DEDICADO CORPORATIVO 15 MBPS EN LA AGENCIA DE LA GORMIGA MES DE NOVIEMBRE 2024 </t>
  </si>
  <si>
    <t xml:space="preserve">PAGO FACTURA A HYDRA SOLUCIONES EMPRESARIALES INGENIERIA SAS CC 900437268 POR SERVICIO DE INTERNET AGENCIA MOCOA MES DE FEBRERO 2025 </t>
  </si>
  <si>
    <t xml:space="preserve">PAGO A ALCALDIA DEL MUNICIPIO DE ORITO  NIT 800102896 RETENCION DE INDUSTRIA Y COMERCIO MES DE DICIEMBRE 2024 </t>
  </si>
  <si>
    <t>Compras Villagarzon</t>
  </si>
  <si>
    <t xml:space="preserve">PAGO A ALCALDIA DEL MUNICIPIO DE VILLA GARZON A NIT 800054249 RETENCION DE INDUSTRIA Y COMERCIO MES DE DICIEMBRE 2024 </t>
  </si>
  <si>
    <t xml:space="preserve">COTABILIZACION PAGO A ALCALDIA DE MOCOA NIT 800102891 POR RETENCION DE INDUSTRIA Y COMERCIO PRACTICADAS EL MES DE FEBRERO DE 2025  </t>
  </si>
  <si>
    <t xml:space="preserve">PAGO FACTURA HO 89712 A NOVACOM TIC NIT 900620983 POR SERVICIO DE INTERNET EN AGENCIA DE LA HORMIGA MES DE DICIEMBRE DE 2025  </t>
  </si>
  <si>
    <t xml:space="preserve">NOTA DE AJUSTE A CO 2000140 POR ERROR EN CONTABILIZACION DE TERCERO EN COMPRA Y RETENCIONES, SE CORRIE A CARLOS ARTEMIO CC 12960193 POR DISTRIBUCIONES CGS NIT 901544280 </t>
  </si>
  <si>
    <t xml:space="preserve">PAGO FACTURA NETS-115307 A NET ISP SAS NIT 900502634 POR SERVICIO DE INTERNET COMERCIALY SERVICIO IP PUBLICA MES JULIO 2025 AGENCIA DE LA DORADA </t>
  </si>
  <si>
    <t xml:space="preserve">CONT PAGO DE ARENA Y TAMIZADO, PARA ADECUACION DE PSIO, ANDEN COOTEP AEGNCIA LA HORMIGA. </t>
  </si>
  <si>
    <t>NASTACUAS CUARAN MILTON JAVIER</t>
  </si>
  <si>
    <t xml:space="preserve">PAGO FACTURA SERF 1002 A SERLOGYC POR SERVICIO DE CORRESPONSALIA VILLAGARZON MES DE DICIEMBRE 2025 </t>
  </si>
  <si>
    <t xml:space="preserve">PAGO PAPELERIA MES ENERO SEGUN FRA C-16889 </t>
  </si>
  <si>
    <t>SOTO ARANDA MARIA LUISA</t>
  </si>
  <si>
    <t xml:space="preserve">PAGO A ALCALDIA DEL MUNICIPIO DE PUERTO LEGUIZAMO NIT 891200513 RETENCION DE INDUSTRIA Y COMERCIO MES DE DICIEMBRE 2024 </t>
  </si>
  <si>
    <t xml:space="preserve">DEPCTA PAGO SERVICIO de un mes de publicidad radial en la BOCANA, de PROYECCION STEREO, MES MARZO 2025 </t>
  </si>
  <si>
    <t xml:space="preserve">Contabilizacion por compra frutas para curso elaboracion de helados y postres asociados Sibundoy con el SENA </t>
  </si>
  <si>
    <t>JOJOA CHAVES CARMEN ALICIA</t>
  </si>
  <si>
    <t xml:space="preserve">Legalizacion anticipo para recepcion por celebracion dai del maestro agencia sibundoy dia 23 de mayo </t>
  </si>
  <si>
    <t>LASSO CUARAN LEONEL ALFONSO</t>
  </si>
  <si>
    <t xml:space="preserve">PAGO FACTURA SMD 1076 A NOVACOM TIC NIT 900620983 POR SERVICIO DE INTERNET DEDICADO 30MB CORPORATIVO EN LA AGENCIA LA DORADA MES DE OCTUBRE 2025 </t>
  </si>
  <si>
    <t xml:space="preserve">PAGO FACTURA FVE22 A DUCARDO JEMBER URQUIJO CC 18145427 COMO SERVICIO DE REVISORIA FISCAL COOTEP MES DE AGOSTO 2025 </t>
  </si>
  <si>
    <t xml:space="preserve">PAGO FACTURA FE 770 A NELSON ZAMBRANO CC 18127828 POR SERVOCIO DE MONITOREO DE ALARMAS DE MOCOA Y LAS AGENCIAS DEL 2 DE DIC AL 3 ENE 2026 </t>
  </si>
  <si>
    <t xml:space="preserve">CONTABILIZACION PAGO FACTURA HO84912 A NOVACOM NIT 900620983 POR SERVICIO DE INTERNET STAR 40GB 64458 MAS ADICION DE 50GB DATOS SATELITALES EN LA AGENCIA DE LA PTO LEGUIZAMO </t>
  </si>
  <si>
    <t>PAGO A ALCALDIA DE SAN MIGUEL NIT 800252922 POR RETENCION MENSUAL DE INDUSTRIA Y COMERCIO Y/O RTE. ICA MES NOVIEMBRE AÑO 2025</t>
  </si>
  <si>
    <t xml:space="preserve">PAGO FACTURA NETS134785 A NETISP NIT 900502634 POR SERVICIO DE INTERNET COMERCIAL AGENCIA DE LA HORMIGA </t>
  </si>
  <si>
    <t>LEGALI ANTICIPO CO 7000200 COMPRA ELEMENTOS LABOR SOCIAL ANCIANATO,  SG OFI CS No 04-2025 DEL 20/11/2025 POR JERSON SOLATE CC 1126453097 CEL. 3117091144 SEG SOPORTE Y FACTURAS 6*10</t>
  </si>
  <si>
    <t xml:space="preserve">PAGO A ALCALDIA DEL MUNICIPIO DE SIBUNDOY NIT 891201645 RETENCION DE INDUSTRIA Y COMERCIO MES DE DICIEMBRE 2024 </t>
  </si>
  <si>
    <t xml:space="preserve">PAGO A ALCALDIA DEL MUNICIPIO DE LA HORMIGA  NIT 800102912 RETENCION DE INDUSTRIA Y COMERCIO MES DE DICIEMBRE 2024 </t>
  </si>
  <si>
    <t xml:space="preserve">PAGO RETECION DE INDUSTRIA Y COMERCIO A ALCALDIA DE ORITO NIT 800102896 MES DE JUNIO 2025 </t>
  </si>
  <si>
    <t xml:space="preserve">LEGALIZACION ANTICIPO DE MARIA ELVIA RUALES CC 69055379 POR CAPACITACION PARA CURSO MANUALIDADES Y COMPRA DE MATERIALES EN EL CORRESPONSAL DE VILLAGARZON.  </t>
  </si>
  <si>
    <t>RUALES NARVAEZ MARIA ELVIA</t>
  </si>
  <si>
    <t xml:space="preserve">PAGO FACTURA NETS-115306 A NET ISP SAS NIT 900502634 POR SERVICIO DE INTERNET COMERCIALY SERVICIO IP PUBLICA MES JULIO 2025 AGENCIA DE LA HORMIGA </t>
  </si>
  <si>
    <t xml:space="preserve">Pago cuentas de cobro de Carlos Pardo cc 5348917 por compra de materiales y servicio prestado en taller de manualidades ag Sibundoy, Mocoa, Puerto Asis y Orito sgn soporte adjunto </t>
  </si>
  <si>
    <t>PARDO VALENCIA CARLOS HERNANDO</t>
  </si>
  <si>
    <t>PAGO A ALCALDIA DE LA DORADA  POR RETENCION DE INDUSTRIA Y COMERCIO RETEICA MES DE ENERO 2025</t>
  </si>
  <si>
    <t xml:space="preserve">Pago a Yuli Fernanda Chaves cc 1010081868 por elaboración de certificados Sarc, Sarl, Saro por total de $528.000 </t>
  </si>
  <si>
    <t xml:space="preserve">INSTALACION SISTEMA PUESTA A TIERRA SEGUN CUENTA DE COBRRO </t>
  </si>
  <si>
    <t xml:space="preserve">VARGAS ROSAS HERMES </t>
  </si>
  <si>
    <t xml:space="preserve">DEPCTA PAGO SERVICIO DE FOTOCOPIAS Y PAPELERIA MES MAYO Y JUNIO AGENCIA LA HORMIGA  </t>
  </si>
  <si>
    <t xml:space="preserve">LEGALIZACION REFRIGERIOS Y ALMUERZOS CUSRSO DE MANUALIDADES AGENCIA PTO ASIS EQV 3DSE226 </t>
  </si>
  <si>
    <t>VILLOTA MACIAS DIANA MARITZA</t>
  </si>
  <si>
    <t xml:space="preserve">pago por alquiler salon para taller de manualidades agencia sibundoy del 18 de octubre </t>
  </si>
  <si>
    <t xml:space="preserve">INSTITUCION EDUCATIVA FRAY BARTOLOME DE SIBUNDOY   </t>
  </si>
  <si>
    <t xml:space="preserve">PAGO FACTURA NETS 158808 A NET ISP SAS NIT 900502634 POR SERCICIO DE  INTERNET COMERCIAL  AGENCIA LA HORMIGA  MES DE DICIEMBRE 2025 </t>
  </si>
  <si>
    <t xml:space="preserve">LEGALI ANTICIPO CO 7000199 COMPRA ELEMENTOS LABOR SOCIAL RESCATE ANIMAL,  SG OFI CS No 04-2025 DEL 20/11/2025 POR JERSON SOLATE CC 1126453097 CEL. 3117091144 SEG SOPORTE Y FACTURA </t>
  </si>
  <si>
    <t>ROMO ROJAS LUPE CARMELA</t>
  </si>
  <si>
    <t xml:space="preserve">CONT PAGO SERVICIO DE 198 REFRIGERIOS, PARA BINGO DIA DE LA MADRE Y PADRE, AGENCIA LA HORMIGA. </t>
  </si>
  <si>
    <t xml:space="preserve">Contabiizacion por compra para refrigerwios por acttivida tarde de cine niños asociados agencia Sibundoy </t>
  </si>
  <si>
    <t>CEBALLOS MEJIA RUTH HAYLEN</t>
  </si>
  <si>
    <t>PAGO A ALCALDIA DE VALLE DEL GUAMEZ NIT 800102912 POR RETENCION MENSUAL DE INDUSTRIA Y COMERCIO Y/O RTE. ICA MES NOVIEMBRE AÑO 2025</t>
  </si>
  <si>
    <t xml:space="preserve">CONT PAGO SERVICIO DE RESTAURANTE, ENTREGA DE 230 REFRIGERIOS PARA COMPARTIR NOVENA, AGENCIA LA HORMIGA </t>
  </si>
  <si>
    <t xml:space="preserve">CONTABILIZACION PAGO ALCALDIA DE VILLAGARZON NIT800054249 POR RETENCION DE INDUSTRIA Y COMERCIO PRACTICADAS EN EL MAS DE JULIO DE 2025 </t>
  </si>
  <si>
    <t xml:space="preserve">LEGALIZACION ANTICIPO A LICETH KAROLINA PANTOJA CC 1124072952 POR MERCADOS NAVIDEÑOS, LABORES SOCIALES PROTECCION AMIMAL Y ANCIANATO </t>
  </si>
  <si>
    <t>BACCA ROMO HECTOR VICENTE</t>
  </si>
  <si>
    <t xml:space="preserve">AJUSTE SALDO CUENTA 24480519 SALDO NO REGISTRADO EN NOVIEMBRE AL REALIZAR EL PAGO </t>
  </si>
  <si>
    <t>AROSER</t>
  </si>
  <si>
    <t xml:space="preserve">PAGO FACTURA NETS59389 A NETISP NIT 900502634 POR SERVICIO DE INTERNET DEDICADO MES DE DICIEMBRE 2024 PARA LA AGENCIA DE LA DORADA </t>
  </si>
  <si>
    <t xml:space="preserve">PAGO FACTURA DO20042 A NOVACOM NIT 900620983 POR SERVICIO DE INTERNET MES MAYO 2025 DE LA AGENCIA DORADA </t>
  </si>
  <si>
    <t xml:space="preserve">PAGO RETECION DE INDUSTRIA Y COMERCIO A ALCALDIA DE SAN MIGUEL NIT 800252922 MES DE JUNIO 2025 </t>
  </si>
  <si>
    <t xml:space="preserve">PAGO RETECION DE INDUSTRIA Y COMERCIO A ALCALDIA DE LEGUIZAMO NIT 891200513 MES DE JUNIO 2025 </t>
  </si>
  <si>
    <t>LEGALI ANTICIPO CO 70002025 COMPRA DE MERCADOS Y COMPARTIR SG OFI CS No 04-2025 DEL 20/11/2025 POR COOR OPERACION JERSON SOLARTE CC. 1126453097 CEL. 3117091144 SG FACTURAS Y SOPORT</t>
  </si>
  <si>
    <t>CUACES ZAMBRANO DORIS ALICIA</t>
  </si>
  <si>
    <t>PAGO A ALCALDIA DE VILLA GARZON NIT 800054249 POR RETENCION MENSUAL DE INDUSTRIA Y COMERCIO Y/O RTE. ICA MES NOVIEMBRE AÑO 2025</t>
  </si>
  <si>
    <t xml:space="preserve">CONTABILIZAMOS PAGO DE MANTENIMIENTO DE AIRES ACONDICIONADOS SEGUN FACTURA RF56 Y SOPORTES ANEXOS </t>
  </si>
  <si>
    <t>ACAICE</t>
  </si>
  <si>
    <t>NOPIA  LUZ ADIELA</t>
  </si>
  <si>
    <t xml:space="preserve">PAGO DE RETENCION DE INDUSTRIA Y COMERCIO A ALCALDIA DEL MUNICIPIO DE SIBUNDOY NIT 891201645 CORRESPONDIENTES AL MES DE SEPTIEMBRE 2025 </t>
  </si>
  <si>
    <t xml:space="preserve">PAGO A CHAVES ACOSTA YULY FERNANDA CC 1010081868 PORCOMPRA  DE PENDONES PARA AREA COMERCIAL </t>
  </si>
  <si>
    <t xml:space="preserve">PAGO FACTURA SERF 639 A SERLOGYC NIT900579315POR SERVICIO DE CORRESPOSALIA MUNICIPIO DE VILLAGARZON MES DE MARZO 2025  </t>
  </si>
  <si>
    <t xml:space="preserve">PAGO FACTURA FE702 DE ZAMBRANO DUARTE NELSON FABIO NIT 18127828 POR SERVICIO DE MONITOREO DE CAMARAS Y/O ALARMAS MES DE JUNIO 2025 EN LAS AGENCIAS </t>
  </si>
  <si>
    <t xml:space="preserve">PAGO SERVICIO DE PUBLICIDAD RADIAL  MES DE JULIO, SEGUN CONTRATO 01-2025 DEL 17 DE MARZO DE 2025 A ELKIN LUGO ENRIQUEZ MONTENEGRO CC. 15572024 CEL. 3209018306 </t>
  </si>
  <si>
    <t xml:space="preserve">PAGO FACTURA HSMC-1846 A HYDRA SOLUCIONES EMPRESARIALES NIT 900437268 POR SERVICION DE INTERNET COMERIALMES DE AGOSTO AGENCIA MOCOA </t>
  </si>
  <si>
    <t xml:space="preserve">Contabilizacion pago publicidad en emisora Manatial Stereo del 1 a 31 dic. Jingle Navideño. </t>
  </si>
  <si>
    <t xml:space="preserve">PAGO 1DSE1267 A YULY FERNANDA CHAVES ACOSTA CC 1010081868 POR COMPRA DE CINTAS SATINADA CON LOGO DE COOTEP 42 AÑOS </t>
  </si>
  <si>
    <t>PAGO PROGR RADIAL PREGRABADO CELEBRACIÓN DEL DÍA Y AÑO INTERNACIONAL DEL COOPERATIVISMO, EMISORA LA PEGAJOSA 88.3 FM DEL 19/07/2025. A OSCAR RODRIGUEZ  CC. 18162933 CEL. 3137002257</t>
  </si>
  <si>
    <t xml:space="preserve">PAGO FACTURA HSE 46502 A HSE INGENIERIA NIT 900437268 POR SERVICIO DE INTERNET MES DE NOVIEMBRE EN AGENCIA DE SIBUNDOY </t>
  </si>
  <si>
    <t xml:space="preserve">CONTABILIZAMOS PAGO DE FACTURA DE COMPRA DE 36 MERCADOS NAVIDEÑOS ACTIVIDAD FONDO DE SOLIDARIDAD </t>
  </si>
  <si>
    <t xml:space="preserve">ROSERO GALINDEZ ARTURO </t>
  </si>
  <si>
    <t xml:space="preserve">PAGO FACTURA FVD-32 A URQUIJO CHAVEZ DUCARDO NIT 18145427 POR SERVICIO DE REVISORIA FISCAL MES DE NOVIEMBRE 2025 </t>
  </si>
  <si>
    <t xml:space="preserve">CONT PAGO SERV DE PERIFONEO, BINGO TESORITOS COOTEP Y PUBLICIDAD MENSUAL RADIAL </t>
  </si>
  <si>
    <t>PAGO SERVICIO DE PUBLICIDAD RADIAL MES DE NOVIEMBRE, EMISORA LA PEGAJOSA 88.3 FM, SEGÚN CONTRATO 01-2025 DEL 17 DE MARZO DE 2025 A ELKIN L. ENRIQUEZ M. CC. 15572024 CEL. 3209018306</t>
  </si>
  <si>
    <t xml:space="preserve">DISTRIBUCIONES CGS SAS   </t>
  </si>
  <si>
    <t xml:space="preserve">PAGO A ALCALDIA DEL MUNICIPIO DE VALLE DEL GUAMEZ Y/O LA HORMIGA NIT 800102912 POR RETENCION DE INDUSTRIA Y COMERCIO MES DE MARZO 2025 </t>
  </si>
  <si>
    <t xml:space="preserve">Contabilización compra dos motocicletas Wave 110s a Maquinagro SA nit 830145805 por valor de $14.800.000 según cotización adjunta y facturasEHK390 - EHK 391 campaña aportes </t>
  </si>
  <si>
    <t xml:space="preserve">MAQUINAGRO S A   </t>
  </si>
  <si>
    <t>RAMOS BOTINA CARLOS JAVIER</t>
  </si>
  <si>
    <t xml:space="preserve">PAGO FACTURA FE692 A ZAMBRANO DUARTE NELSON Y/O SEGURIDAD INTEL CC 18127828 POR SERVICIO DE MONITOREO DE ALARMAS EN MOCOA Y LAS AGENCIAS MES DE MAYO 2025 </t>
  </si>
  <si>
    <t xml:space="preserve">PAGO FACTURA SERF879 A SERLOGYC NIT 900579315 POR ACCESO AL SOFTWARE DE GESTION DE INFORMACION FINANCIERA INN-REPORT DURANTE AGOSTO </t>
  </si>
  <si>
    <t xml:space="preserve">PAGO DE RETENCION DE INDUSTRIA Y COMERCIO A ALCALDIA DEL MUNICIPIO DE PUERTO ASIS NIT 891200461 CORRESPONDIENTES AL MES DE SEPTIEMBRE 2025 </t>
  </si>
  <si>
    <t xml:space="preserve">CONTABILIZAMOS PAGO DE EMPANADAS AL HORNO DE POLLO, PARA EVENTO SUEÑOS AL VIENTO 2025. </t>
  </si>
  <si>
    <t xml:space="preserve">CONTABILIZACION PAGO DE RETENCION DE INDUSTRIA Y COMERCIO A ALCALDIA DE ORITO NIT 800102896 RETEICA MES DE AGOSTO 2025 </t>
  </si>
  <si>
    <t xml:space="preserve">COMPRA DE 2 CAJAS RESMAS DE PAPEL REPROGRAF TAMAÑO CARTA SEGUN FRA C-17072 </t>
  </si>
  <si>
    <t>RUBIO GUZMAN JUAN CARLOS</t>
  </si>
  <si>
    <t xml:space="preserve">PAGO MATERIALES INSTAL AIRE ACONDICIO OFI DIRECTORA DE AGENCIA SG COTIZACION  DEL 14/02/2025 VBO DAO 06/03/2025 DS 7DSE315 A JHON JAIRO URIBE MEJIA CC 1061727860 CEL. 3222811758 </t>
  </si>
  <si>
    <t>URIBE MEJIA JHON JAIRO</t>
  </si>
  <si>
    <t xml:space="preserve">traslado de tejas trapesoidal de archivo a terraza para cubierta agencia sibundoy </t>
  </si>
  <si>
    <t>JOSA ESPAÑA HECTOR CAMILO</t>
  </si>
  <si>
    <t xml:space="preserve">LEGALIZACION ANTICIPO A CAMILO ZAMBRANO CC 1127073033 PARA REALIZAR ACTIVIDAD DE MANUALIDADES DIRIGIA A ASOCIADO DEL CORRESPONAL DE VILLA GARZON </t>
  </si>
  <si>
    <t>MUÑOZ GUERRERO MARY LUZ</t>
  </si>
  <si>
    <t xml:space="preserve">PAGO FACTURA NETS 158811 A NET ISP SAS NIT 900502634 POR SERCICIO DE  INTERNET COMERCIAL  AGENCIA LA DORADA LINEA 2 MES DE DICIEMBRE 2025 </t>
  </si>
  <si>
    <t xml:space="preserve">PAGO FACTURA HSE 46923 A HSE INGENIRIA NIT 900437268 POR SERVICIO DE INTERNER PLAN DEDICADO E IP PUBLICA AGENCIA SIBUNDOY MES DE DICIEMBRE 2025 </t>
  </si>
  <si>
    <t>ARIAS BETANCUR JORGE ALBERTO</t>
  </si>
  <si>
    <t xml:space="preserve">PAGO FACTURA JC28 A LEYDI JOHANA GOMEZ CC 1124861395 POR PRESTACION DE SERIVICOS COMO PROFESIONAL INDEPENDIENTE REALIZANDO  PRESENTACION INFORME EXOGENA </t>
  </si>
  <si>
    <t>GOMEZ MUÑOZ LEYDI JOHANA</t>
  </si>
  <si>
    <t xml:space="preserve">CONTABILIZAMOS PAGO DE 160  REFROGERIOS EVENTO FONDO DE EDUCACION SABADO 21 DE JUNIO BINGO MADRE Y PADRE. </t>
  </si>
  <si>
    <t xml:space="preserve">CONTABILIZACION PAGO ALCALDIA DE PTO ASIS NIT891200461 POR RETENCION DE INDUSTRIA Y COMERCIO PRACTICADAS EN EL MAS DE JULIO DE 2025 </t>
  </si>
  <si>
    <t>lLEGALIZACION  Y REINTEGRO DE GASTOS DE CAJA MENOR Y LEGALIZACION ACTIVIDAD SUEÑOS AL VIENTO PARA ASOCIADOS VILLA GARZON A CAMILO ZAMBRANO CC 1127073033 COMPRA DE REFRIGERIOS 6X100</t>
  </si>
  <si>
    <t xml:space="preserve">PAGO FACTURA JPTM102 A TREJOS MORALES JUAN NIT 89004807 POR MANTENIMIENTO PREVENTIVO Y CORRECTIVO SUMINISTROS DE REPUESTOS EN PLATA ELECTRICA 2.800.000 </t>
  </si>
  <si>
    <t>TREJOS MORALES JUAN PABLO</t>
  </si>
  <si>
    <t xml:space="preserve">PAGO A ALCALDIA DE PTO LEGUIZAMO  POR RETENCION DE INDUSTRIA Y COMERCIO RETEICA MES DE ENERO 2025 </t>
  </si>
  <si>
    <t xml:space="preserve">PAGO FACTURA NETS59388 A NETISP NIT 900502634 POR SERVICIO DE INTERNET DEDICADO MES DE DICIEMBRE 2024 PARA LA AGENCIA DE LA HORMIGA </t>
  </si>
  <si>
    <t xml:space="preserve">COTABILIZACION PAGO A ALCALDIA DE LA HORMIGA NIT 800102912 POR RETENCION DE INDUSTRIA Y COMERCIO PRACTICADAS EL MES DE FEBRERO DE 2025 </t>
  </si>
  <si>
    <t xml:space="preserve">PAGO A YULY FERNANDA CHAVEZ CC 1010081868 POR SERVICIO DE HABLADORES EN PROPALCOTE E IMPRESION ADHESIVOS COOTEP EXPREX </t>
  </si>
  <si>
    <t xml:space="preserve">contabilizacion pago arrendamiento mes de junio  oficinas calle 6 n. 2-84 sra maria ines sanchez cc 26636874. </t>
  </si>
  <si>
    <t xml:space="preserve">PAGO FACTURA HSE 44320 A HYDRA SOLUCIONES EMPRESARIALES SAS NIT 900437268 POR SERVIVIO DE INTERNET AGENCIA SIBUNDOY MES DE MAYO 2025 </t>
  </si>
  <si>
    <t xml:space="preserve">CONTABILIZACION PAGO FACTURA HO86096 A NOVACOM NIT 900620983 POR SERVICIO DE INTERNET STAR 100 MB EN LA AGENCIA DE LA HORMIGA MES DE SEPTIEMBRE 1RA LINEA </t>
  </si>
  <si>
    <t>PAGO A ALCALDIA DE VALLE DEL GUAMEZ NIT 800102912 POR RETENCION MENSUAL DE INDUSTRIA Y COMERCIO Y/O RTE. ICA MES OCTUBRE AÑO 2025</t>
  </si>
  <si>
    <t xml:space="preserve">PAGO DE FACTURA NETS125263 A NET ISP NIT 900502634 POR SERVICIO DE  INTERNET OCOMERCIAL EN LA AGENCIA DE SAN MIGUEL Y/O LA DORADA 2DALINEA </t>
  </si>
  <si>
    <t xml:space="preserve">CONTABILIZACION ANTICIPO A MILENA PORTILLO PARA ACTIVIDAD DETALLER DE MANUALIDADES COOTEP 2025 AGENCIA MOCOA </t>
  </si>
  <si>
    <t xml:space="preserve">DIAZ MOLINA ARACELY </t>
  </si>
  <si>
    <t xml:space="preserve">compra mecato para lonch festival del viento agencia sibundoy del 23 de agosto </t>
  </si>
  <si>
    <t xml:space="preserve">PAGO FACTURA NETS49624 A NET ISP NIT 900502634 POR SERVICIO DE INTERNET DEDICADO CORPORATIVO 15 MBPS EN LA AGENCIA DE LA DORADA MES DE NOVIEMBRE 2024 </t>
  </si>
  <si>
    <t xml:space="preserve">ORDEN DE PAGO REPARACION ENCENDIDO - MANTENIEMTO CORRECTIVO PLANTA ELECTRICA AGENCIA PTO ASIS FACTURA ELECTRONICA-JPTM70 </t>
  </si>
  <si>
    <t xml:space="preserve">CONTABILIZACION PAGO DE ARRENDO MES DE MARZO OFICINA COOTEP AGENCIA LEGUIZAMO ALA SEÑORA MARIA INES SANCHEZ GONZALEZ CC 26636874. </t>
  </si>
  <si>
    <t xml:space="preserve">PAGO FACTURA FEV-40 A RUIZ GONZALEZ LINSEY MARICEL NIT 1124850208 POR COMPRA DE EQUIPOS INSTALADOS EN LAS OFICINAS DE COOTEP ORITO </t>
  </si>
  <si>
    <t xml:space="preserve">PAGO FACTURA HSMC 1373 A HYDRA SOLUCIONES EMPRESARIALES INGENIERIA SAS NIT 900437268 POR SERVICIO DE INTERNET AGENCIA MOCOA MES DE MARZO 2025 </t>
  </si>
  <si>
    <t xml:space="preserve">LEGALIZACION SEGUN ANTICIPO CO 6000239 ACTIVIDAD FESTIVAL DE COMETAS.SEGUN ANEXOS. SEGUN OFICIOS NO. 051. </t>
  </si>
  <si>
    <t>HERNANDEZ  DIANA MARCELA</t>
  </si>
  <si>
    <t xml:space="preserve">PAGO A SANDRA VALLEJO CC 69009268 POR SERVICIO DE ENTREGA CARTAS EN AGENCIAS, SIBUNDOY, VILLA GARZON, PTO ASIS, PTO LEGUIZAMO, ORITO, HOMIGA, Y DORADA </t>
  </si>
  <si>
    <t>VALLEJO GARCIA SANDRA PATRICIA</t>
  </si>
  <si>
    <t xml:space="preserve">PAGO FACTURA HO84864 A NOVACOM NIT 900620983 POR SERVICIO DE INTERNET STAR 40GB E INTERNET SATELITAL DEDICADO 20MB MES AGOSTO AGENCIA DE PTO LEGUIZAMO </t>
  </si>
  <si>
    <t xml:space="preserve">CONTABILIZAMOS PAGO DE 2 FOLDERAMAS PARA LA AGENCIA ORITO SEGUN FACTURA ELECTRONICA CUFE 261.  </t>
  </si>
  <si>
    <t xml:space="preserve">GAVIRIA SANCHEZ EMILSE </t>
  </si>
  <si>
    <t xml:space="preserve">PAGO FACTURA FEPA31010 A ISANET NIT 900593821 POR SERIVIOC DE INTERNET 100 MEGAS DE LA AGENCIA DE PTO ASIS MES DE FEBRERO 2025 </t>
  </si>
  <si>
    <t xml:space="preserve">ISA NETWORKS ISP S.A.S   </t>
  </si>
  <si>
    <t xml:space="preserve">PAGO FACTURA NETS 105513 A NET ISP NIT 900502634 POR SERVICIO DE INTERNET COMERCIAL Y SERVICIO DE IP PUBLICA MES DE JUNIO 2025 EN LA AGENCIA DE LA DORADA </t>
  </si>
  <si>
    <t>SERVICIOS DE MANO DE OBRA MANTENIMIENTO AIRE ACOND TIPO CASETT SALA DE ATENCION SG  COTIZACION DEL 05/03/25 Y VBO  DAO 06/03/25 DOC SOPO 7DSE314 A JHON J. URIBE M. CC 1061727860 5*</t>
  </si>
  <si>
    <t>PAGO SERVICIO DE PUBLICIDAD RADIAL MES DE JUNIO 2025 SEGUN CONTRATO 01-2025 DEL 17/03/2025 A ELQUIN LUGO  ENRIQUEZ M. C 15572024 CEL. 3209018306 5*1000 RETEICA</t>
  </si>
  <si>
    <t>PAGO A ALCALDIA DE VILLA GARZON NIT 800054249 POR RETENCION MENSUAL DE INDUSTRIA Y COMERCIO Y/O RTE. ICA MES OCTUBRE AÑO 2025</t>
  </si>
  <si>
    <t xml:space="preserve">PAGO ARRENDAMIENTO LOCAL COMERCIAL OFCINA DE COOOTEP MES DE OCTUBRE SRA MARIA INES SANCHEZ GONZALEZ CC  26636864. </t>
  </si>
  <si>
    <t xml:space="preserve">Pago por alquiler tablero grande bingo tesoritos cootep sibundoy del 1 noviembre en sibundoy </t>
  </si>
  <si>
    <t>NAVIA  OSCAR HUMBERTO</t>
  </si>
  <si>
    <t xml:space="preserve">PAGO FACTURA FE-756 A NELSON ZAMBRANO Y/O SEGURIDAD INTEL NIT 18127828 POR EL SERVICIO DE MONITERIO DE ALAMRAS EN MOCOA Y LAS AGENCIAS </t>
  </si>
  <si>
    <t xml:space="preserve">LEGALIZACION DE ANTICIPO PARA EVENTO CURSO DE MANUALIDADES NOV 29 DE 2025. SEGUN CO 5000108 Y FACTURAS ANEXAS </t>
  </si>
  <si>
    <t>RUALES RUALES RUTH JANETH</t>
  </si>
  <si>
    <t>ENRIQUEZ PANTOJA WALTER DANIEL</t>
  </si>
  <si>
    <t xml:space="preserve">LEGALIZACION DE GASTOS CELEBRACION DE BINGO TESORITOS REALIZADA EL DIA 25 DE OCTUBRE SEGUN OFICIO DAO 076 </t>
  </si>
  <si>
    <t>BOLIVAR REYES ERIKA YALLINNE</t>
  </si>
  <si>
    <t xml:space="preserve">PAGO FACTURA HO 78920 A NOVACOM NIT 900620983 POR SERVICIO DE INTERNET MES DE MARZO 2025 DE LA AGENCIA LA HORMIGA Y/O VALLE DEL GUAMUEZ </t>
  </si>
  <si>
    <t xml:space="preserve">Contabilización pago fra FVD-1 a Ducardo Jember Urquijo por concepto de servicio Revisoria Fiscal Cootep mes de enero por valor de $6.594.803 </t>
  </si>
  <si>
    <t xml:space="preserve">PAGO FACTURA HO81307 A NOVACOM NIT 900620983 POR SERVICIO DE INTERNET MES MAYO 2025 DE LA AGENCIA DE PTO LEGUIZAMO </t>
  </si>
  <si>
    <t>LEGALIZAMOS ANTICIPO REALIZADO CON CO 5000112 PARA COMPRA DE ELEMENTOS PARA ACTIVIDADES DEL FONDO DE SOLIDARIDAD (YUDAS A FUNDACIONES ANIMALITOS Y ANCIANATOS) COMPRA COMIDA Y MEDIC</t>
  </si>
  <si>
    <t>CIFUENTES TELLO JULIAN DAVID</t>
  </si>
  <si>
    <t>LEGALIZAMOS ANTICIPO REALIZADO CON CO 5000112 PARA COMPRA DE ELEMENTOS PARA ACTIVIDADES DEL FONDO DE SOLIDARIDAD (YUDAS A FUNDACIONES ANIMALITOS Y ANCIANATOS) COMPRA ROPA ABUELITOS</t>
  </si>
  <si>
    <t>ORDOÑEZ CERON RUBI LUCI</t>
  </si>
  <si>
    <t xml:space="preserve">PAGO A ALCALDIA DE LA DORADA  POR RETENCION DE INDUSTRIA Y COMERCIO RETEICA MES DE ENERO 2025  </t>
  </si>
  <si>
    <t xml:space="preserve">PAGO FACTURA FVE-8 POR REVISORIA FISCAL MES DE ABRIL 2025 A URQUIJO CHAVEZ DUCARDO JEMBER CC 18145427 </t>
  </si>
  <si>
    <t xml:space="preserve">LEGALIZACION ANTICIPO TARDE DE CINE A ZAMBRANO HERNANDEZ CAMILO ALEJANDRO CC 1127073033 </t>
  </si>
  <si>
    <t>DOMINGUEZ MATABAJOY LORENA HORTENCIA</t>
  </si>
  <si>
    <t xml:space="preserve">Contabilizacion pago por refrigerios y almuerzo capacitacion SARL / SARO/ SARC de 10 de mayo agencia sibundoy. </t>
  </si>
  <si>
    <t>MAYA VILLOTA JESUS SEBASTIAN</t>
  </si>
  <si>
    <t xml:space="preserve">PAGO ARRIENDO LOCAL COMERCIAL OFICINA DE COOTEP MES DE NOVIEMBRE SRA MARIA INES SANCHEZ GONZALEZ CC 26636874. SEGUN OFICIO ANEXO. </t>
  </si>
  <si>
    <t>PAGO A ALCALDIA DE PUERTO LEGUIZAMO NIT 891200513 POR RETENCION MENSUAL DE INDUSTRIA Y COMERCIO Y/O RTE. ICA MES OCTUBRE AÑO 2025</t>
  </si>
  <si>
    <t xml:space="preserve">CONTABILIZACION PAGO ALCALDIA DE SIBUNDOY NIT891201645 POR RETENCION DE INDUSTRIA Y COMERCIO PRACTICADAS EN EL MAS DE JULIO DE 2025 </t>
  </si>
  <si>
    <t xml:space="preserve">CHICA CORDOBA JAVIER </t>
  </si>
  <si>
    <t xml:space="preserve">CONT DEPCTA PAGO SERVICIO DE PUBLICIDAD RADIAL EN LA BOCANA DE PROYECCION STEREO MES NOVIMBRE, AGENCIA LA HORMIGA </t>
  </si>
  <si>
    <t xml:space="preserve">PAGO A ALCALDIA DEL MUNICIPIO DE LEGUIZAMO NIT 891200513 POR RETENCION DE INDUSTRIA Y COMERCIO MES DE MARZO 2025 </t>
  </si>
  <si>
    <t xml:space="preserve">PAGO DE FACTURA SERF 597 A SERLOGYC NIT 900579315  POR SERVICIO DE CORRESPONSALIA MUNICIPIO DE VILLAGARZON MES DE FEBRERO 2025 </t>
  </si>
  <si>
    <t>AVANCE CAJA MENOR MES DE JULIO 2025 AGENCIA LA DORADA SEGUN ARQUEO, SOPORTES Y FACTURAS POR YESICA OBANDO CC 1026145875 CEL. 3144264998 DIRECTORA DE AGENCIA 5*1000 SERVICIO MANTENI</t>
  </si>
  <si>
    <t>BURBANO OJEDA CRISTIAN EDUARDO</t>
  </si>
  <si>
    <t xml:space="preserve">PG PUBLICIDAD RADIAL MES DE MAYO 2025 LA BOCANA </t>
  </si>
  <si>
    <t xml:space="preserve">PAGO SERVICIO DE PUBLI RADIAL MES  OCTUBRE, EMISORA LA PEGAJOSA 88.3 FM, SF CONTRATO 01-2025 DEL 17 DE MARZO DE 2025 A ENRIQUEZ MONTENEGRO ELKIN LUGO CC. 15572024 CEL. 3209018306  </t>
  </si>
  <si>
    <t xml:space="preserve">LEGALIZACION SEGUN CO-6000340 POR ACTIVIDAD TALLER MANUALIDADES ASOCIADO DE COOTEP SEGUN OFCIO DAO 071.SEGUN ANEXOS. </t>
  </si>
  <si>
    <t>lLEGALIZACION  Y REINTEGRO DE GASTOS DE CAJA MENOR Y LEGALIZACION ACTIVIDAD SUEÑOS AL VIENTO PARA ASOCIADOS VILLA GARZON A CAMILO ZAMBRANO CC 1127073033 PERIFONEO Y PUBLICIDAD 6X10</t>
  </si>
  <si>
    <t>PANTOJA  ENRIQUE JAVIER</t>
  </si>
  <si>
    <t xml:space="preserve">PAGO FACTURA SERF905 A SERLOGYC NIT 900579315 POR ACCESO A SOFTWARE DE GESTION DE INFROMACION FINACIERA SEPTIEMBRE 2025 POR VALOR DE 440.300 </t>
  </si>
  <si>
    <t xml:space="preserve">PAGO FACTURA FE-667 A ZAMBRANO DUARTE NELSON FABIO CC 18127828 POR SERVICIO DE MONITOREO DE ALARMAS MES DE MARZO 2025 </t>
  </si>
  <si>
    <t>PAGO PINTURA FACHADA , AREA DE ATENCION AL CLIENTE Y OFICINA GERENCIA , PUESTA DE GUARDA ESCOBAS EN FACHADA DEBAJO DEL CONTADOR, MANTENIMIENTOS DE VENTILADOR DE CAJA, CHAPA DE BAÑO</t>
  </si>
  <si>
    <t xml:space="preserve">CONTABILIZAMOS GASTO POR ACTIVIDA DE NOVENA NAVIDEÑA, COMPRAS DE REFRIGERIOS, ALUILER DE TRAJES Y APOYO LOGISTICO. </t>
  </si>
  <si>
    <t>CHAVEZ GALARZA LUIS FERNANDO</t>
  </si>
  <si>
    <t xml:space="preserve">CONT COMPRA DE MEDICAMENTOS, VITAMINAS Y  COMIDA PARA GATOS Y PERROS, ENTREGA AYUDA FONDO SOLIDARIDAD </t>
  </si>
  <si>
    <t>GAVIRIA TAPIA EDISON FERNANDO</t>
  </si>
  <si>
    <t xml:space="preserve">CONTABILIZACION PAGO ARRENDAMIENTO ENERO 2025 OFICINA COOTEP AGENCIA LEGUIZAMO A LA SEÑORA MARIA INES SANCHEZ GONZALEZ CC 26636874 </t>
  </si>
  <si>
    <t xml:space="preserve">pago de servicio de publicidad radial </t>
  </si>
  <si>
    <t>KGUERR</t>
  </si>
  <si>
    <t xml:space="preserve">CORPORACION COMUNITARIA CULTURAL Y DEPORTIVA 3 FRONTERAS FM RADIO   </t>
  </si>
  <si>
    <t xml:space="preserve">pago publicidad radial del 15 dica 15 enero / 15 enero a 15 febrero/ 15 febrero a 15 marzo. </t>
  </si>
  <si>
    <t>PATIÑO ESPAÑA CARLOS ESTEBAN</t>
  </si>
  <si>
    <t xml:space="preserve">PAGO FACTURA FE-677 A ZAMBRANO DUARTE NELSON FABIO CC 18127828 POR SERVICIO DE MONITOREO DE ALARMAS MES DE ABRIL 2025 </t>
  </si>
  <si>
    <t xml:space="preserve">PAGO DOCUMENTO SOPORTE 1DSE1386 A EDINSON IMBACHI BENAVIDES CC 18126542 POR SERVICIO DE IMPRESION DE TALONARIOS DE CAJA, PAGARES Y CONTRATOS CUPO ROTATIVO. </t>
  </si>
  <si>
    <t xml:space="preserve">IMBACHI BENAVIDES EDINSON </t>
  </si>
  <si>
    <t xml:space="preserve">PAGO FACTURA SME-1518 A NOVACOM NIT 900620983 POR SERVICIO DE INTERNET EN LA AGENCIA DE LA DORADA MES DE NOVIEMBRE 2025 </t>
  </si>
  <si>
    <t xml:space="preserve">PAGO SEGUN COTIZACION 0762 A CIELOS RASOS EN PVC JP NIT 1083896745 POR COMPRA DE LAMINAS MARMOLITADASY PEGANTE </t>
  </si>
  <si>
    <t xml:space="preserve">FLOREZ GUZMAN JULIAN </t>
  </si>
  <si>
    <t xml:space="preserve">LEGALIZACION ACTIVIDADES COMITE DE SOLIDARIDAD LABOR SOCIAL PROTECCION ANIMAL DONACION DE ALIMENTO FR 4071 FUNDACION DOGO, Y 4 HOGARES DE PASO </t>
  </si>
  <si>
    <t>GONZALEZ VANEGAS CAROL LISETH</t>
  </si>
  <si>
    <t xml:space="preserve">PAGO FACTURA HO84862 A NOVACOM NIT 900620983 POR SERVICIO DE INTERNET EMPRESARIAL E INTERNET DEDICADO 20MB MES AGOSTO AGENCIA DE LA HORMIGA </t>
  </si>
  <si>
    <t xml:space="preserve">CONTABILIZACION PAGO A OMAR ENRIQUE RAMOS CC 1085262104 POR CONTRATO N° 10 ELABORACION ESTRUCTURA METALICA EN LA AGENCIA SIBUNDOY, SE DESCUENTA ANTICIPO </t>
  </si>
  <si>
    <t>RAMOS JOJOA OMAR ENRIQUE</t>
  </si>
  <si>
    <t xml:space="preserve">pagao por refrigerios de la mañana y almuerzos taller de manualidades del 18 de agosto agencia Sibundoy </t>
  </si>
  <si>
    <t xml:space="preserve">Compra 33 anchetas navideñas para asociados Agencia Sibundoy </t>
  </si>
  <si>
    <t>MUTUMBAJOY MELO DEYVIS ANDERSON</t>
  </si>
  <si>
    <t xml:space="preserve">CONTABILIZACION LEGALIZACION ANTICIPO ACTIVIDADES DE FIN DE AÑI COMITE DE SOLIDARIDAD </t>
  </si>
  <si>
    <t>DUQUE JIMENEZ MARLLY KATALINA</t>
  </si>
  <si>
    <t xml:space="preserve">PAGO A ALCALDIA DE LA HORMIGA Y/O VALLE DEL GUAMEZ NIT 800102912 POR RETENCIONES DE INDUSTRI Y COMERCIO MES DE MAYO 2025 </t>
  </si>
  <si>
    <t xml:space="preserve">CONTABILIAMOS PAGO DE RF 62 POR TRABAJO REALIZADO EN CIELO RAZO . LIMPIEZA DESIFECCION, FUMIGACION, TAPADO DE HUECOS, CAMBIO DE ESTRUCTURAS CORROHIDAS POR EL OXIDO. </t>
  </si>
  <si>
    <t>PAGO A ALCALDIA DE PUERTO ASIS NIT 891200461 POR RETENCION MENSUAL DE INDUSTRIA Y COMERCIO Y/O RTE. ICA MES OCTUBRE AÑO 2025</t>
  </si>
  <si>
    <t xml:space="preserve">PAGO ARRENDAMIENTO LOCAL CCIAL OFICINA COOTEP LEGUIZAMO MES DE SEPTIEMBRE 2025 MAS AJUSTE IPC AGOSTO 2025 MARIA INES SANCHEZ GONZALEZ CC 26636874 </t>
  </si>
  <si>
    <t xml:space="preserve">PAGO FACTURA HSE43227 A  HYDRA SOLUCIONES EMPRESARIALES INGENIERIA SAS NIT 900437268 POR SERVICIO DE INTERNET AGENCIA SIBUNDOY MES DE ABRIL 2025 </t>
  </si>
  <si>
    <t xml:space="preserve">PAGO FACTURA SERF749 A SERLOGYC NIT 900579315 POR SERVICIO DE CORRESPONSALIA MUNICIPIO DE VILLAGARZON MES DE JUNIO 2025 </t>
  </si>
  <si>
    <t xml:space="preserve">Compra elementos de papeleria y utiles de oficina agencia sibundoy </t>
  </si>
  <si>
    <t xml:space="preserve">PAGO A ALCALDIA DE PUERTO LEGUIZAMO NIT 891200513 POR RETENCIONES DE INDUSTRI Y COMERCIO MES DE MAYO 2025 </t>
  </si>
  <si>
    <t xml:space="preserve">Contabilizacion pago por publicidad radial y perifoneo para bingo tesoritos agenacia sibundoy del 1 de noviembre </t>
  </si>
  <si>
    <t xml:space="preserve">PAGO FACTURA NETS 158809 A NET ISP SAS NIT 900502634 POR SERCICIO DE  INTERNET COMERCIAL  AGENCIA LA DORADA MES DE DICIEMBRE 2025 </t>
  </si>
  <si>
    <t xml:space="preserve">CONT PAGO SERVICIO DE PUBLICIDAD RADIAL EN LA BOCADA DE PROYECCION STEREO MES DIC/2024 </t>
  </si>
  <si>
    <t xml:space="preserve">Contabilización resgistro devolución bancaria por pago de impuesto reteica alcaldia Leguizamo por que la cuenta del banco agrario esta inactiva según soportes </t>
  </si>
  <si>
    <t xml:space="preserve">PAGO FACTURA NETS 146497 A NET ISP NIT 900502634 POR SERVICIO DE INTERNET COMERCIAL MES DE NOVIEMBRE EN AGENCIA LA DORADA </t>
  </si>
  <si>
    <t xml:space="preserve">PAGO DE FACTURA NETS125260 A NET ISP NIT 900502634 POR SERVICIO DE  INTERNET OCOMERCIAL EN LA AGENCIA DE VALLE DEL GUAMEZ Y/O LA HORMIGA MES DE AGOSTO </t>
  </si>
  <si>
    <t xml:space="preserve">PAGO FACTURA NETS-115309 A NET ISP SAS NIT 900502634 POR SERVICIO DE INTERNET COMERCIALY SERVICIO MES JULIO 2025 AGENCIA DE LA DORADA LINEA 2 </t>
  </si>
  <si>
    <t xml:space="preserve">PAGO DOC SOPORT 1DSE1255 A BERMEO MUSTAFA ALIA SAMADI CC 1126003236 POR ALMUERZOS DE 50 INTEGRANTES DE LA REUNION ORDINARIA DE ASAMBLEA GRAL DE DELEGADOS 29/03/25 </t>
  </si>
  <si>
    <t xml:space="preserve">Contabilizacion por compras de insumos para Curso elaboracion helados y postres lacteos asociados Sibundoy con el SENA </t>
  </si>
  <si>
    <t>GARCES HERNANDEZ ALBA LUCIA</t>
  </si>
  <si>
    <t>PAGO SERVICIO DE PROMOCION PUBLICITARIA RADIAL  SEG CONTRATO No 01 DE 2025- 17 DE MARZO 2025 FACTURA FEV-145 A ENRIQUEZ MONTENEGRO ELKIN LUGO CC. 15572024 CEL. 3209018306 5*1000 RE</t>
  </si>
  <si>
    <t xml:space="preserve">Contabilizacion compra lonch para bingo tesoritos Cootep agencia sibundoy del 1 de noviembre </t>
  </si>
  <si>
    <t xml:space="preserve">CONT COMPRA DE 51 MERCADOS NAVIDEÑOS, AGENCIA LA HORMIGA </t>
  </si>
  <si>
    <t xml:space="preserve">Contabilizacion logistica curso SENA asociados Sibundoy, aseo salon, transporte piagio, alquiler refrigeradores, lavado manteles, compra desechables clausura </t>
  </si>
  <si>
    <t xml:space="preserve">CONTABILIZAMOS PAGO DE SONIDO Y SERENATA POR ACTIVIDAD DEL FONDO DE EDUCACIÓN BINGO CELEBRTACION DIA MADRE Y PADRE SABADO 21 DE JUNIO </t>
  </si>
  <si>
    <t>ROJAS CAICEDO LUIS ALFREDO</t>
  </si>
  <si>
    <t xml:space="preserve">PAGO FACTURA NETS 105515 A NET ISP NIT 900502634 POR SERVICIO DE INTERNET COMERCIAL Y SERVICIO DE IP PUBLICA MES DE JUNIO 2025 EN LA AGENCIA DE LA DORADA 2DA LINEA </t>
  </si>
  <si>
    <t xml:space="preserve">PAGO FACTURA HSE44694 A HYDRA SOLUCIONES EMPRESARIALES NIT 900437268 POR SERVICIO DE INTERNET COMERCIAL MES DE JULIO 2025 EN LA AGENCIA DE SIBUNDOY </t>
  </si>
  <si>
    <t xml:space="preserve">PAGO A LUIS CAMILO PATIÑO CC 12997019 POR PRESTACION DE SERVICIO REMODELACION INSTALACIONES ELECTRICAS 4.300.000 Y SUMINISTRO DE MATERIALES 40.351.000 </t>
  </si>
  <si>
    <t>REINOSO CASTILLO WILLYE JAVIER</t>
  </si>
  <si>
    <t xml:space="preserve">PAGO SERVICIO DE PAUTAS PUBLICITARIAS DEL 12 ENERO AL 11 FEBRERO FRA FVE-195 </t>
  </si>
  <si>
    <t xml:space="preserve">PAGO FACTURA HO77756 A NOVAOM NIT 900620983 POR SERVICIO DE INTERNET EMPRESARIA AGENCIA DE LA HORMIGA MES DE FEBRERO 2025 </t>
  </si>
  <si>
    <t xml:space="preserve">AJUSTE NOTA NA 1001368 POR ERROR EN LA CONTABILIZACION EN CUENTA 24480501 RETEICA SERVICIOS NO SE DIGITO BIEN EN NIT. </t>
  </si>
  <si>
    <t xml:space="preserve">PAGO DSE 1555 A JOANA PAZ CC 1124850571 POR PRESTACION DE SERVICIOS POR DECORACION PARA CENA NAVIDEÑA COOTEP MOCOA </t>
  </si>
  <si>
    <t>PAZ PANTOJA JOANA CAROLINA</t>
  </si>
  <si>
    <t xml:space="preserve">CONT PAGO SERVICIO DE PINTURA DE OFICINA, AUDITORIO Y FACHADA, SE HACE DESCUENTO DE LEY  </t>
  </si>
  <si>
    <t>ROSERO ORDOÑEZ JIME ALEXANDER</t>
  </si>
  <si>
    <t>LEGALIZACION ANTICIPO CO 7000178   TALLER DE MANUALIDADES  08 DE NOV  SG OFI DAO No 071 DE 29 SEP  SG SOPORTES Y FACTURA X ASESORA  SERVI  LORENA PAZ CC. 1006997143 CEL. 3125142630</t>
  </si>
  <si>
    <t xml:space="preserve">IMBACHI MUTUMBAJOY GENNY </t>
  </si>
  <si>
    <t xml:space="preserve">PAGO A ALCALDIA DEL MUNICIPIO DE VILLA GARZON NIT 800054249 POR RETENCION DE INDUSTRIA Y COMERCIO MES DE MARZO 2025 </t>
  </si>
  <si>
    <t xml:space="preserve">CONT PAGO SERVICIO DE ARREGLO Y MANTIMIENTO DE ALJIBE Y ARREGLO DE LAVADERO, AGENCIA LA HORMIGA </t>
  </si>
  <si>
    <t>URBANO CUARAN YEFERSON ARLEY</t>
  </si>
  <si>
    <t>PAGO SERVICIO DE PUBLICIDAD RADIAL MES DE ENERO 2025 SEGUN  CONTRATO No. 04-2024 DEL 01/03/2024 Y FACTURA FEV-127 A  ELKIN LUGO ENRIQUEZ CC 15572024 CEL 3209018306 5*1000</t>
  </si>
  <si>
    <t xml:space="preserve">COTABILIZACION PAGO A ALCALDIA DE LA DORADA NIT 800252922 POR RETENCION DE INDUSTRIA Y COMERCIO PRACTICADAS EL MES DE FEBRERO DE 2025 </t>
  </si>
  <si>
    <t>MANO DE OBRA INSTALACION AIRE ACONDICIONADO MABE 1800 BTU TIPO SPLIT INVERTER DIRECTORA AGEN SEGUN COTI DE 14/02/25 Y VBO DAO 06/03/25 A JHON J. URIBE CC 1061727860 CEL. 3222811758</t>
  </si>
  <si>
    <t xml:space="preserve">Contabilizacion pago por perifoneo 4 horas en municipios de Sibundoy para festivar del viento agencia Sibundoy </t>
  </si>
  <si>
    <t xml:space="preserve">PAGO A MORIANO VIVEROS YINGUER MARCELO CC 18144169 POR PRESTACION DE SERVICIOS POR AVALUO COMERCIAL DEL PREDIO CORRESPONDIENTE A LA AGENCIA DE ORITO </t>
  </si>
  <si>
    <t>MORIANO VIVEROS YINGUER MARCELO</t>
  </si>
  <si>
    <t xml:space="preserve">PAGO DSO 1560 A MANUEL PAREDES POR PRESTACION DE SERVICIOS DE CENA NAVIDEÑA CON SALON Y DEMAS </t>
  </si>
  <si>
    <t>PAREDES LOPEZ MANUEL EDMUNDO</t>
  </si>
  <si>
    <t xml:space="preserve">PAGO FACTURA HO80056 A NOVACOM NIT 900620983 POR SERVICIO DE INTERNET MES DE ABRIL 2025 DE LA AGENCIA DE LA HORMIGA Y/O VALLE DEL GUAMUEZ </t>
  </si>
  <si>
    <t xml:space="preserve">PAGO FACTURA FEV36 A RUIZ GONZALEZ LINSEY MARICEL CC 1124850208 POR COMPRA DE EQUIPOS INSTALADOS EN LAS AGENCIAS DE PTO ASIS Y LA DORADA </t>
  </si>
  <si>
    <t>LEGA CO 7000104 BINGO DIA DEL PADRE Y DE A MADRE  21/06/2025 SG OFI DAO 040 DE 16/05/2025 SEGUN PLANILLAS, FACTURAS Y SOPORTES POR WILMER RENGIFO CC. 1088340787 CEL. 3133082077 6*1</t>
  </si>
  <si>
    <t xml:space="preserve">PAGO A ALCALDIA DE SAN MIGUEL NIT 800252922 POR RETENCIONES DE INDUSTRI Y COMERCIO MES DE MAYO 2025 </t>
  </si>
  <si>
    <t xml:space="preserve">PAGO ARRENDAMIENTO LOCAL COMERCIAL OFICINA DE COOTEP MES DE AGOSTO  2025. SRA MARIA SANCHEZ  GONZALEZ CC 26636874.   </t>
  </si>
  <si>
    <t xml:space="preserve">PAGO A ALCALDIA DE VILLA GARZON NIT 800054249 POR RETENCIONES DE INDUSTRI Y COMERCIO MES DE MAYO 2025 </t>
  </si>
  <si>
    <t xml:space="preserve">PAGO FACTURA NETS 146496 A NET ISP NIT 900502634 POR SERVICIO DE INTERNET COMERCIAL MES DE NOVIEMBRE EN AGENCIA LA HORMIGA Y/O VALLE DEL GUAMEZ </t>
  </si>
  <si>
    <t xml:space="preserve">CONTABILIZAMOS PAGO SERVICIO DE PUBLICIDAD RADIAL MES DE SEPTIEMBRE, EMISORA LA PEGAJOSA 88.3 FM, SEGÚN CONTRATO 01-2025 DEL 17 DE MARZO DE 2025 Y FACTURA FEV-167 </t>
  </si>
  <si>
    <t xml:space="preserve">PAGO DE SERVICIO DE PUBLICIDAD RADIAL N° FV2145 </t>
  </si>
  <si>
    <t xml:space="preserve">PAGO A ALCALDIA DEL MUNICIPIO DE MOCOA NIT 800102891 RETENCION DE INDUSTRIA Y COMERCIO MES DE DICIEMBRE 2024 </t>
  </si>
  <si>
    <t xml:space="preserve">PAGO SERVICIO DE PUBLICIDAD RADIAL SEGUN CONTRATO No 01-2025 DEL 17/03/2025 SEGUN FACTURA FEV-151 DEL19/05/2025 A ENRIQUEZ MONTENEGRO ELKIN LUGO CC. 15572024 CEL.- 3209018306 </t>
  </si>
  <si>
    <t xml:space="preserve">PAGO FACTURA HSMC 1635 A HSE INGENIERIA NIT 900437268 POR SERVICIO DE INTERNET MES DE JUNIO EN LA AGENCIA DE MOCOA </t>
  </si>
  <si>
    <t xml:space="preserve">Contabilizacion refrigerios por charlas de Educacion Financiera y socializacion portafolio de servicio grupo de artesanos Santiago y grupo de ahgorros sibundoy me s de febrero. </t>
  </si>
  <si>
    <t xml:space="preserve">PAGO RETECION DE INDUSTRIA Y COMERCIO A ALCALDIA DE SIBUNDOY NIT 891201645 MES DE JUNIO 2025 </t>
  </si>
  <si>
    <t xml:space="preserve">PAGO A VIRGILIO OCAMPO CC 93400947 POR SERVICIO PARA DESISTANLAR E INSTALAR TECHO DEL INMUEBLE AGENCIA LA DORADA </t>
  </si>
  <si>
    <t xml:space="preserve">PAGO A ALCALDIA DE MOCOA POR RETENCION DE INDUSTRIA Y COMERCIO RETEICA MES DE ENERO 2025 </t>
  </si>
  <si>
    <t xml:space="preserve">Contabilizacion pago por registro fotografico y video curso elaboracion de helados y postres con el sena/ Asociaados Sibundoy </t>
  </si>
  <si>
    <t>CANCHALA  MAIRA ALEJANDRA</t>
  </si>
  <si>
    <t xml:space="preserve">PAGO FACTURA NETS96137 A NET ISP NIT 900502634 POR SERVICIO DE INTERNET COMERCIAL EN LA AGENCIA LA DORADA EL MES DE FEBRERO - MARZO - ABRIL Y MAYO 2025 </t>
  </si>
  <si>
    <t xml:space="preserve">PAGO FACTURA HO87330 Y HO87328 A NOVACOM TIC NIT 900620983 POR SERVICIO DE INTERNET DEDICADO 30MB CORPORATIVO EN LA AGENCIA LA HORMIGA Y/O VALLE DEL GUAMEZ MES DE OCTUBRE 2025 </t>
  </si>
  <si>
    <t xml:space="preserve">PAGO FACTURA HSE-44877 A HYDRA SOLUCIONES EMPRESARIALES NIT 900437268 POR SERVICIO DE INTERNET COMERIALMES DE AGOSTO AGENCIA SIBUNDOY </t>
  </si>
  <si>
    <t xml:space="preserve">PAGO FACTURA HSMC1955 A HSE INGENIERIA NIT 900437268 POR SERVICIO DE INTERNET MES DE SEPTIEMBRE AGENCIA DE MOCOA </t>
  </si>
  <si>
    <t xml:space="preserve">LEGALIZACION ANTICIPO A CAMILO ZAMBRANO CC 1124073033 POR EVENTO NOVENA NAVIDEÑA  </t>
  </si>
  <si>
    <t>RIVERA VARGAS VICTOR MANUEL</t>
  </si>
  <si>
    <t xml:space="preserve">PAGO DE FACTURAS FEPA 31650 A ISANET NIT: 900593821 POR SERVICIO DE INTERNET PUERTO ASIS MES DE MARZO 2025 </t>
  </si>
  <si>
    <t xml:space="preserve">PAGO FACTURA HO80055 A NOVACOM NIT 900620983 POR SERVICIO DE INTERNET MES DE ABRIL 2025 DE LA AGENCIA DE PUERTO LEGUIZAMO </t>
  </si>
  <si>
    <t xml:space="preserve">CONT LEGALIZACION  DE ANTICIPO FECHA 21/02/2025 CO 4000050, REUNION INFORMATIVA  </t>
  </si>
  <si>
    <t xml:space="preserve">LEGALIZACION GASTOS ANTICIPO PARA ADECUACION DE AIRES PARA QUE FUNCIONEN CON RED PUBLICA Y GENERADOS ELECTRICO. </t>
  </si>
  <si>
    <t>CERON SANTAMARIA YILMAR JHONATAN</t>
  </si>
  <si>
    <t xml:space="preserve">PAGO FACTURA NETS 146499 A NET ISP NIT 900502634 POR SERVICIO DE INTERNET COMERCIAL MES DE NOVIEMBRE EN AGENCIA LA DORADA LINEA DE RESPALDO </t>
  </si>
  <si>
    <t xml:space="preserve">PAGO FACTURA NETS134788 Y NETS134786 A NET ISP NIT 900502634 POR SERVICIO DE INTERNET COMERCIAL EN LA AGENCIA DE LA DORADA Y LINEA DE RESPALDO </t>
  </si>
  <si>
    <t xml:space="preserve">CONTABILIZACION LEGALIZACION ANTICIPO CONCURSO DE COMETAS ASOCIADOS COOTEP 2025 </t>
  </si>
  <si>
    <t xml:space="preserve">MUÑOZ CERON GIOVANNY </t>
  </si>
  <si>
    <t xml:space="preserve">CONTABILIZACION PAGO DE RETENCION DE INDUSTRIA Y COMERCIO A ALCALDIA DE PUERTO LEGUIZAMO NIT 891200513 RETEICA MES DE AGOSTO 2025 </t>
  </si>
  <si>
    <t xml:space="preserve">PAGO FACTURA HO 78919 A NOVACOM NIT 900620983 POR SERVICIO DE INTERNET MES DE MARZO 2025 DE LA AGENCIA PUERTO LEGUIZAMO </t>
  </si>
  <si>
    <t xml:space="preserve">PAGO A ALCALDIA DEL MUNICIPIO DE SIBUNDOY  NIT 891201645 POR RETENCION DE INDUSTRIA Y COMERCIO MES DE MARZO 2025 </t>
  </si>
  <si>
    <t xml:space="preserve">PAGO POR SUMINISTRO ENCENDIDO SOLENOIDE PLANTA ELECTRICA AGENCIA PTO ASIS FACTURA ELECTRONICA JPTM69 </t>
  </si>
  <si>
    <t xml:space="preserve">CONTABILIZACION LEGALIZACION  ANTICIPO PARA COMPRA DE ELEMENTOS PARA PINTAR PARTE INTERIOR DE LA COOPERATIVA EN MOCOA </t>
  </si>
  <si>
    <t xml:space="preserve">SISCONT LTDA   </t>
  </si>
  <si>
    <t xml:space="preserve">PAGO FACTURA FVD-21 A URQUIJO CHAVEZ DUCARDO JEMBER CC 18145427 POR SERVICIO CE REVISORIA FISCAL MES DE JULIO 2025 </t>
  </si>
  <si>
    <t>Rte Ica Compra Leguizamo</t>
  </si>
  <si>
    <t xml:space="preserve">CONTABILIZACION PAGO DE ARRENDO ME DE ABRIL 2025 OFCINA COOTEP CALLE 6 #2-84 LEGUIZAMO. SRA MARIA INES SANCHEZ GONZALEZ. CC 2663674.  </t>
  </si>
  <si>
    <t xml:space="preserve">PAGO DOC SOPORTE 1DSE A 1288 JUAN CARLOS RUBIO GUZMAN CC 93407539 POR COMPRA DE REFRIGERIOS PARA CAPACITACION DE SARC, SARL, SARO 10 MAYO 2025 </t>
  </si>
  <si>
    <t xml:space="preserve">PAGO RETECION DE INDUSTRIA Y COMERCIO A ALCALDIA DE PUERTO ASIS NIT 891200461 MES DE JUNIO 2025 </t>
  </si>
  <si>
    <t xml:space="preserve">AJUSTE NOTA CO 4000224 POR QUE SE APLICO RETENCION EN LA FUENTE POR SERVICIOS, SIN EMBARGO APLICANDO EL ART 383 NO APLICA PARA RETENCION, Y NO APLICARON RETEICA DE LA HORMIGA. </t>
  </si>
  <si>
    <t xml:space="preserve">PAGO FACTUA FEM 5636 A MAGUARE ESTEREO LTDA NIT 846001061 POR PROGRAMA RADIAL DE 1 HORA EL DIA SABADO 19 DE JULIO DE 2025 DE 11 AM A 12 M </t>
  </si>
  <si>
    <t xml:space="preserve">MAGUARE ESTEREO LTDA   </t>
  </si>
  <si>
    <t>VELASCO LOPEZ GUSTAVO ALFREDO</t>
  </si>
  <si>
    <t>GONZALEZ SANCHEZ CINDY JOHANNA</t>
  </si>
  <si>
    <t xml:space="preserve">CONTABILIZACION PAGO ALCALDIA DE LA HORMIGA NIT800102912 POR RETENCION DE INDUSTRIA Y COMERCIO PRACTICADAS EN EL MAS DE JULIO DE 2025 </t>
  </si>
  <si>
    <t xml:space="preserve">PAGO FACTURA SERF939 A SERLOGYC NIT 900579315 POR SERVICIO DE CORRESPONSALIA MUNICIPIO DE VILLA GARZON MES DE OCTUBRE 2025 </t>
  </si>
  <si>
    <t xml:space="preserve">PAGO FACTURA SERF-676 A SERLOGYC NIT 900579315 POR SERVICIO DE CORRESPONSALIA MUNICIPIO DE VILLAGARZON MES DE ABRIL DE 2025 </t>
  </si>
  <si>
    <t xml:space="preserve">PAGO ARRENDAMIENTO LOCAL COMERCIAL OFICINA DE COOTEP MES DE JULIO  2025. SRA MARIA INES SANCHEZ GONZALEZ CC 26636874. </t>
  </si>
  <si>
    <t xml:space="preserve">LEGALIZACION ANTICIPO COMPPRA DE MATERIALES PARA PARA ADECUACION DE POLO A TIERRA SE ADJUNTA FRA NAFE83 </t>
  </si>
  <si>
    <t xml:space="preserve">GAMBOA GONZALES NATALIA </t>
  </si>
  <si>
    <t xml:space="preserve">PAGO SERVICIOS PERSONALES POR LIMPIEZA Y MANTENIMIENTO LAVADO EN SECO DE SILLAS, ISOCELES, GIRATORIAS, ERGONOMICAS Y MARROQUIN,  A CRISTIAN A. MUÑOZ CC. 1143984736 CEL. 3206238492 </t>
  </si>
  <si>
    <t>MUÑOZ ANDRADE CRISTIAN ALEXIS</t>
  </si>
  <si>
    <t xml:space="preserve">LEGALIZAMOS ANTICIPO SEGUN CO 5000100, POR ACTIVIDAD DE FONDO DE EDUCACION BINGO TESORITOS COOTEP 2025 </t>
  </si>
  <si>
    <t xml:space="preserve">cont pago por mano de obra, adecuacion de piso de anden agencia la Hormiga, se hace descuento de ley </t>
  </si>
  <si>
    <t>CEBALLOS BASTIDAS HERNAN VICENTE</t>
  </si>
  <si>
    <t xml:space="preserve">Contabilizacion por aseo de terraza , limpieza de cunetas exteriores, pintura de fachada y votar escombros. </t>
  </si>
  <si>
    <t xml:space="preserve">COMPRA DE SUMINISTRO DE ASEO N° FE 12156 </t>
  </si>
  <si>
    <t xml:space="preserve">RAMOS ZUÑIGA OLIVER </t>
  </si>
  <si>
    <t xml:space="preserve">COMPRA DE ELEMENTOS DE ASEO SEGUN FRA FE-12715 </t>
  </si>
  <si>
    <t xml:space="preserve">COTABILIZACION PAGO A ALCALDIA DE LA HORMIGA NIT 800102912 POR RETENCION DE INDUSTRIA Y COMERCIO PRACTICADAS EL MES DE ABRIL DE 2025 </t>
  </si>
  <si>
    <t xml:space="preserve">PAGO A YULY FERNANDA CHAVEZ ACOSTA CC 1010081868 POR SERVICIO DE ELEABORACION PORTAFOLIO DE SERVICIOS EN PAPEL BOND NATURAL POR VALOR DE 850.000  </t>
  </si>
  <si>
    <t xml:space="preserve">PAGO FACTURA FVD-35 A URQUIJO CHAVEZ DUCARDO NIT 18145427 POR SERVICIO DE REVISORIA FISCAL MES DE DICIEMBRE 2025 </t>
  </si>
  <si>
    <t xml:space="preserve">PAGO 1DSE1404 A YULY FERNANDA CHAVEZ ACOSTA CC 1010081868 POR SERVICIO DE ELABORACION DE HABLARORES EN PROPALCOTE Y ELABORACION DE ADHESIVOS </t>
  </si>
  <si>
    <t>PAGO SERVICIO PUBILICIDAD RADIAL MES DE AGOSTO 2025 SEG. FAC. FEV-164 Y CONTRATO 01-2025 DE 17 DE MARZO A ELKIN ENRIQUEWZ CC 15572024 CEL 3209018306 5*1000 RETEICA</t>
  </si>
  <si>
    <t xml:space="preserve">PAGO FACTURA FMC1 146 A PAPELERIA LA UNICAY/O ARCILA SOTO ARANDA POR LA COMPRA DE CINTA EPSON, BROCHA FINA, PEGANTE Y DEMAS PRODUCTOS DE PAPELERIA </t>
  </si>
  <si>
    <t xml:space="preserve">SOTO ARANDA ARCILA </t>
  </si>
  <si>
    <t xml:space="preserve">CONT PAGO DE FABRICACION DE TAPA PARA ALJIBE , EN ALUMINIO GALVANIZADO AGENCIA ALA HORMIGA </t>
  </si>
  <si>
    <t>PORTILLA BENAVIDES HAROLD RAMIRO</t>
  </si>
  <si>
    <t xml:space="preserve">PAGO A ALCALDIA DE VALLE DEL GUAMEZ  POR RETENCION DE INDUSTRIA Y COMERCIO RETEICA MES DE ENERO 2025 </t>
  </si>
  <si>
    <t xml:space="preserve">PAGO FACTURA DO19601 A NOVACOM NIT 900620983 POR SERVICIO DE INTERNET MES DE ABRIL 2025 DE LA AGENCIA DE LA DORADA </t>
  </si>
  <si>
    <t xml:space="preserve">COTABILIZACION PAGO A ALCALDIA DE LEGUIZAMO NIT 891200513 POR RETENCION DE INDUSTRIA Y COMERCIO PRACTICADAS EL MES DE FEBRERO DE 2025  </t>
  </si>
  <si>
    <t xml:space="preserve">LEGALIZACION ANTICIPO A TORRES CASTRO DANNY YULIETH CC 1117550697 POR ACTIVIDAD DE BIENESTAR DEL DIA DEL HOMBRE Y LA MUJER </t>
  </si>
  <si>
    <t>ZAMBRANO  MARIA ELVIA</t>
  </si>
  <si>
    <t xml:space="preserve">PAGO FACTURA HO82483 A NOVACOM TIC NIT 900620983 POR SERVICIO DE INTERNET STAR EN LA AGENCIA DE LA HORMIGA MES DE JUNIO 2025 </t>
  </si>
  <si>
    <t>LEGALIZACION ANTICIPO CO 7000145 DEL 10 SEPT 2025 POR COMPRA DE MATERIALES CABIO DE TECHO POR DAVID SOLARTE CC 1126453097 CEL 3117091144 SEG FACT. FE7083 5x1000 COMPRAS</t>
  </si>
  <si>
    <t>PORTILLA GUEVARA MARLY HERNANDO</t>
  </si>
  <si>
    <t xml:space="preserve">CONTABILIZAMOS PAGO DE REFRIGERIOS POR EVENTO DEL FONDO DE EDUCACIÓN SUEÑOS AL VIENTO 2025, COMPRA DE PALETAS Y FRUTAS (250 PAQUETES EN TOTAL) </t>
  </si>
  <si>
    <t xml:space="preserve">Contabilizacion pago por cena navideña colaboradores del 19 de diciembre </t>
  </si>
  <si>
    <t>LOPEZ CARMONA BIBIANA YANET</t>
  </si>
  <si>
    <t xml:space="preserve">Contabilizacion por compra concentrado para donacion animalitas en Sibundoy, activaidad del Fondo de Solidaridad </t>
  </si>
  <si>
    <t>LARA CABRERA ARMANDO ENRIQUE</t>
  </si>
  <si>
    <t xml:space="preserve">Cont pago servicio de manteniemiento , reubicacion y cambio de gas de 3 aires acondicionados, agencia la Hormiga </t>
  </si>
  <si>
    <t>ROSERO ROSERO HUMBERTO JUVENCIO</t>
  </si>
  <si>
    <t xml:space="preserve">Contabilizacion compra utiles escolares para donacion Escuela Juan 23 / auotorizacion DAO </t>
  </si>
  <si>
    <t>CEBALLOS GUERRERO MARIO FERNANDO</t>
  </si>
  <si>
    <t xml:space="preserve">PAGO FACTURA NETS 105512 A NET ISP NIT 900502634 POR SERVICIO DE INTERNET COMERCIAL Y SERVICIO DE IP PUBLICA MES DE JUNIO 2025 EN LA AGENCIA DE LA HORMIGA </t>
  </si>
  <si>
    <t xml:space="preserve">Contabilizacion pago hora radial por programa dia internacional del Cooperativismo agencia Sibundoy </t>
  </si>
  <si>
    <t xml:space="preserve">CONTABILZACION AJUSTE RETENCION DE ICA PRACTICADA EN CO 6000074 LA CUAL ERA A RETEFUENTE DEL 1% SERVICIO DE TRASPORTE </t>
  </si>
  <si>
    <t xml:space="preserve">PAGO FACTURA HO-87331 A NOVACOM TIC NIT 900620983 POR SERVICIO DE INTERNET DEDICADO 30MB CORPORATIVO EN LA AGENCIA PTO LEGUIZAMO MES DE OCTUBRE 2025 </t>
  </si>
  <si>
    <t xml:space="preserve">PAGO FACTURA HO-88552 A NOVACOM NIT 900620983 POR SERVICIO DE INTERNET EN LA AGENCIA DE PTO LEGUIZAMO MES DE NOVIEMBRE 2025 </t>
  </si>
  <si>
    <t xml:space="preserve">Pago por animacion y cuñas radiales emisora Manantial Stereo del Festival del viento agencia Sibndoy 23 de agosto </t>
  </si>
  <si>
    <t xml:space="preserve">EMISORA MANANTIAL FM   </t>
  </si>
  <si>
    <t xml:space="preserve">PAGO FACTURA HO 89713 A NOVACOM TIC NIT 900620983 POR SERVICIO DE INTERNET EN AGENCIA DE PTO LEGUIZAMO MES DE DICIEMBRE DE 2025 </t>
  </si>
  <si>
    <t xml:space="preserve">Contabilizacion publicidad radial del 15 mayo a 15 junio. De 15 junio a 5 julio. de 15 de julio a 15 de agosto </t>
  </si>
  <si>
    <t xml:space="preserve">PAGO DE SUMINISTRO DE PAPELERIA MES DE ENERO FACT C-16479 </t>
  </si>
  <si>
    <t xml:space="preserve">Contabilización pago servicio de monitoreo o alarmas Cootep fra FE-714 a Nelson Zambrano por $2.180.000 </t>
  </si>
  <si>
    <t xml:space="preserve">CONT PAGO SERV DE RESTAURANTE 150 REFRIGERIOS 75 ALMUERZOS, AGUA, E IMPREVISTOS, CURSO MANUALIDADES </t>
  </si>
  <si>
    <t>lLEGALIZACION  Y REINTEGRO DE GASTOS DE CAJA MENOR Y LEGALIZACION ACTIVIDAD SUEÑOS AL VIENTO PARA ASOCIADOS VILLA GARZON A CAMILO ZAMBRANO CC 1127073033 SERVICIO ARQUILER SONIDO 6X</t>
  </si>
  <si>
    <t>SOLARTE SANCHEZ JOAN ODAIR</t>
  </si>
  <si>
    <t xml:space="preserve">PAGO FACTURA FEV 88 A JOSE LUIS PEREZ PERDOMO CC 1123205616 POR INTELACION DE FACHADA EN ALUMINIO Y VIDIRIO, ADEMAS DE PUERTAS CORREDIZAS EN LA AGENCIA DE PTO ASIS </t>
  </si>
  <si>
    <t>PEREZ PERDOMO JOSE LUIS</t>
  </si>
  <si>
    <t xml:space="preserve">CONT COMPRADE REFRIGERIO Y 56 KITS PARA ENTREGA A ANCIANOS, COMITE SOLIDARIDAD </t>
  </si>
  <si>
    <t xml:space="preserve">PAGO FACTURA FVD-2 A URQUIJO CHAVEZ DUCARDO JEMBER NIT 18145427 POR HONORARIOS DE REVISORIA FISCAL COOTEP MES FEBRERO 2025 </t>
  </si>
  <si>
    <t xml:space="preserve">CONTABILIZACION PAGO DE ARRENDAMIENTO FEBRERO 2025 OFICINA COOTEP AGENCIA LEGUIZAMO A LA SEÑORA MARIA INES SANCHEZ GONZALEZ CC 26636874. </t>
  </si>
  <si>
    <t xml:space="preserve">ALVAREZ RUIZ GERMAN </t>
  </si>
  <si>
    <t xml:space="preserve">PAGO FACTURA 610964 A IPS PREVENIR SIBUNDOY NIT 900219717 POR EXAMENES MEDICO OCUPACIONALES AGENCIA DE SIBUNDOY </t>
  </si>
  <si>
    <t xml:space="preserve">REINTEGRO A LUISA FERNANDA CUERO CC 1124855204 POR COMPRA DE ARTESANIAS DE CHAQUIRAS PARA DAR COMO OBSEQUIO </t>
  </si>
  <si>
    <t xml:space="preserve">CONTABILIZACION PAGO ALCALDIA DE LEGUIZAMO NIT891200513 POR RETENCION DE INDUSTRIA Y COMERCIO PRACTICADAS EN EL MAS DE JULIO DE 2025 </t>
  </si>
  <si>
    <t xml:space="preserve">PAGO DE RETENCION DE INDUSTRIA Y COMERCIO A ALCALDIA DEL MUNICIPIO DE ÑEGUIZAMO NIT 891200513 CORRESPONDIENTES AL MES DE SEPTIEMBRE 2025 </t>
  </si>
  <si>
    <t xml:space="preserve">CONTABILIZACION PAGO DE RETENCION DE INDUSTRIA Y COMERCIO A ALCALDIA DE VILLA GARZON NIT 800054249 REICA MES DE AGOSTO 2025 </t>
  </si>
  <si>
    <t>SANDOVAL MALLAMA RUDH DEL PILAR</t>
  </si>
  <si>
    <t xml:space="preserve">PAFO FRA NO. 3623302 POR LABOR DE RESCATE-PROTECCION Y ADOPCION ANIMAL SEGUN OFCIO NO. 04-2025. ARPOBADO COOTEMITE SOLIDARIDAD. </t>
  </si>
  <si>
    <t xml:space="preserve">ALMACEN INSUAGRO LTDA   </t>
  </si>
  <si>
    <t xml:space="preserve">Contabilizacion para examenes laborales ingreso de Hernan Santiago Zambrano asesor de microcredito </t>
  </si>
  <si>
    <t xml:space="preserve">PAGO FACTURA NO. FE-165 ENTREGA DE MERCADOS NAVIDEÑOS PARA ASOCIADOS VULNERABLES  DE BAJOS RECURSOS. SEGUN SOPORTES. </t>
  </si>
  <si>
    <t xml:space="preserve">PIMENTEL BARREIRO CAMILO </t>
  </si>
  <si>
    <t xml:space="preserve">PAGO FACTURA HSE 45381 A HSE INGENIERIA NIT 900437268 POR SERVICIO DE INTERNET MES DE SEPTIEMBRE AGENCIA DE SIBUNDOY </t>
  </si>
  <si>
    <t xml:space="preserve">PAGO A SERLOGYC NIT 900579315 POR SERVICIO CORRESPONSALIA MUNICIPIO DE VILLAGARZON MES DE SEPTIEMBRE 2025 </t>
  </si>
  <si>
    <t xml:space="preserve">Contabilizacion por compra utiles y papeleria agencia Sibundoy   </t>
  </si>
  <si>
    <t xml:space="preserve">PAGO FACTURA HO83651 A NOVACOM NIT 900620983 POR SERVICIO E INTERNET EMPRESARIAL E INTERNET DEDICADO EN LA AGENCIA DE LA HORMIGA MES DE JULIO 2025 </t>
  </si>
  <si>
    <t>MANTENIMIENTO  DE 3 AIRES ACONDICIONADOS 2 EN EL AREA DE ATENCION AL CLIENTE , 1 OFICINA DE DIRECTOR DE AGENCIA, RECARGA DE GAS A LOS DOS AIRES GRANDES ATN AL CLIENTE,SEGUNCTA COB.</t>
  </si>
  <si>
    <t xml:space="preserve">PAGO FACTURA HSMC2186 A HSE INGENIERIA NIT 900437268 POR SERVICIO DE INTERNET DEDICADO PLAN COMERCIAL MES DE OCTUBRE 2025 POR VALOR DE 571200 EN LA AGENCIA MOCOA </t>
  </si>
  <si>
    <t xml:space="preserve">PAGO FACTURA SMD-1955 A NOVACOM NIT 900620983 POR SERVICIO DE INTERNET EN LA AGENDE DE LA DORADA MES DE DICIEMBRE 2025 </t>
  </si>
  <si>
    <t>PORTOCARRERO  MARIA VENY</t>
  </si>
  <si>
    <t>LEGA ANTICIPO CO 7000015 DE 20/02/2025  ORGA Y LOGIS REUNION INFORMATIVA, SEG OFI DE DAO No 007 * COOR OPERACION WILMER RENGIFO CC 1088340787 CEL. 3133082077 SG FACTURAS Y SOPORTES</t>
  </si>
  <si>
    <t>TOVAR ANDRADE LADY YOHANNA</t>
  </si>
  <si>
    <t xml:space="preserve">PAGO FACTURA HSMC 1221 HYDRA SOLUCIONES EMPRESARIALES INGENIERIA SAS NIT 900437268 POR SERVICIO DEI NTERNERT EN LA AGENCIA DE MOCOA MES DE ENERO 2025 </t>
  </si>
  <si>
    <t>PAGO SERVICIO DE PUBLICIDAD RADIAL  MES DE FEB 2025 SEG CONTRATO  No. 04-2024 DE 01 DE MAR 2024 A ELKIN LUGO  ENRIQUEZ MONTENEGRO CC 15572024 CEL. 3209018306 SG FACTURA FEV-132 5*1</t>
  </si>
  <si>
    <t xml:space="preserve">cont depcta pago servicio de publicidad radial mes febrero  2025, agenci ala Hormiga </t>
  </si>
  <si>
    <t xml:space="preserve">PAGO FACTURA HO83653 A NOVACOM NIT 900620983 POR SERVICIO E INTERNET EMPRESARIAL E INTERNET DEDICADO EN LA AGENCIA DE PTO LEGUIZAMO MES DE JULIO 2025 </t>
  </si>
  <si>
    <t xml:space="preserve">Contabilización pago fra FVD-12 por concepto de revisoria fiscal a Ducardo Jember Urquijo Chavez mes de mayo 2025 por valor de $6.594.803 </t>
  </si>
  <si>
    <t>PAGO A ALCALDIA DE PUERTO ASIS NIT 891200461 POR RETENCION MENSUAL DE INDUSTRIA Y COMERCIO Y/O RTE. ICA MES NOVIEMBRE AÑO 2025</t>
  </si>
  <si>
    <t xml:space="preserve">PAGO FACTURA FE-745 A NELSON FABIO ZAMBRANO CC 18127828 POR SERVICIO DE MONITOREO DE ALARMAS EN MOCOA Y LAS AGENCIAS </t>
  </si>
  <si>
    <t xml:space="preserve">PAGO FACTURA DO 19152 A NOVACOM NIT 900620983 POR SERVICIO DE INTERNET MES DE MARZO 2025 DE LA AGENCIA LA DORADA </t>
  </si>
  <si>
    <t xml:space="preserve">PAGO A ALCALDIA DE SIBUNDOY POR RETENCION DE INDUSTRIA Y COMERCIO RETEICA MES DE ENERO 2025  </t>
  </si>
  <si>
    <t xml:space="preserve">PAGO REVISORIA FISCAL MES DE MARZO 2025 A URQUIJO CHAVEZ DUCARDO JEMBER CC 18145427 </t>
  </si>
  <si>
    <t xml:space="preserve">PAGO FACTURA HSE41978 A HSE INGENIERIA NIT 900437268 POR SERVICIO DE INTERNET AGENCIA SIBUNDOY MES DE FEBRERO 2025 </t>
  </si>
  <si>
    <t>PAGO ADECUACION DE AIRES PARA QUE FUNCIONEN CON RED PUBLICA Y GENERADOR ELECTRICO, INSTALACION DE TRANSFERENCIA TRIFASICA TABLERO ELECTRICO BIFASICO DE 12 CIRCUITOS, CABLEADO DE TA</t>
  </si>
  <si>
    <t xml:space="preserve">PAGO FACTURA SERF812 A SERLOGYC NIT 900579315 POR ACESO AL SOFTWARE DE GESTION DE INFORMACION FINANCIERA INN-REPORT DRURANTE JULIO DE 2025 </t>
  </si>
  <si>
    <t xml:space="preserve">CONTABILIZACION PAGO ALCALDIA DE SAN MIGUEL NIT800252922 POR RETENCION DE INDUSTRIA Y COMERCIO PRACTICADAS EN EL MAS DE JULIO DE 2025 </t>
  </si>
  <si>
    <t xml:space="preserve">PAGO FACTURA FVE6418 A IPS LA DORADA NIT 901372032 POR EXAMENES MEDICOS PARA COLABORADORESD DE LA HORMIGA 7 Y LA DORADA 2 </t>
  </si>
  <si>
    <t xml:space="preserve">CLINICA LA DORADA IPS S.A.S ZOMAC   </t>
  </si>
  <si>
    <t xml:space="preserve">PAGO A YULY FERNANDA CHAVEZ CC 1010081868 POR COMPRAO DE  DE BOLSAS DE PAPEL ECOLOGICAS 1000 UNIDADES VALOR 2.800.000 </t>
  </si>
  <si>
    <t xml:space="preserve">PAGO A ALCALDIA DEL MUNICIPIO DE PUERTO ASIS  NIT 891200461 POR RETENCION DE INDUSTRIA Y COMERCIO MES DE MARZO 2025 </t>
  </si>
  <si>
    <t xml:space="preserve">PAGO FACTURA NETS79630 A  NET I.S.P S.A.S NIT 900502634 POR SERVICIO DE INTERNET DEDICADO E IP PUBLICA MES DE ENERO DE 2025 AGENCIA LA HORMIGA </t>
  </si>
  <si>
    <t xml:space="preserve">dep cta pago servicio de publicidad radial en proyección stereo , la Bocana, mes abril 2025. </t>
  </si>
  <si>
    <t xml:space="preserve">PAGO FACTURA DO20505 A NOVACOM TIC NIT 900620983 POR SERVICIO DE INTERNET STAR 2DA LINEA EN LA AGENCIA DE LA DORADA MES DE JUNIO 2025 </t>
  </si>
  <si>
    <t xml:space="preserve">PAGO ARRENDAMIENTO LOCL COMERCIAL OFICINA DE COOTEP CALLE 6#2-84  MES DE DICIEMBRE SRA MARIA INES SANCHEZ GONZALEZ CC 26636874. </t>
  </si>
  <si>
    <t xml:space="preserve">Contabilización pago a Sigo 900774181 fra FE 9822  por realización de 53 examenes ocupacionales por valor total de $5.671.000 </t>
  </si>
  <si>
    <t xml:space="preserve">PAGO FACTURA SERF559 A SERLOGYC NIT 900579315 POR SERVICIO DE CORRESPONSALIA MUNICIPIO DE VILLAGARZON MES DE ENERO 2025 </t>
  </si>
  <si>
    <t xml:space="preserve">PAGO FACTURA HO 86097 A NOVACOM NIT 900620983 POR SERVICIO DE INTERNET EN LA AGENCIA DE PTO LEGUIZAMO </t>
  </si>
  <si>
    <t xml:space="preserve">LEGALIZACION DE GASTOS REUNION INFORMATIVA AGENCIA PTO ASIS SABADO 22 DE FEBRERO DE 2025 RESP. MABEL GUERRERO </t>
  </si>
  <si>
    <t>GAVIRIA DIAZ ANDREA JOHANA</t>
  </si>
  <si>
    <t xml:space="preserve">Contabilización pago a Omar Armando Pantoja cc 87101363 por  transporte tejas para agencia Sibundoy $225.000 </t>
  </si>
  <si>
    <t>PANTOJA RAMIREZ OMAR ARMANDO</t>
  </si>
  <si>
    <t xml:space="preserve">PAGO A YESID BERNARDO ROSERO CC 18127030 POR COMPRA DE DISCOS DUROS DE 2 TERAS PARA AGENCIA SIBUNDOY POR VALOR DE $772.000 </t>
  </si>
  <si>
    <t>ROSERO MONCAYO YESID BERNARDO</t>
  </si>
  <si>
    <t>PAGO A ALCALDIA DE SIBUNDOY NIT 891201645 POR RETENCION MENSUAL DE INDUSTRIA Y COMERCIO Y/O RTE. ICA MES OCTUBRE AÑO 2025</t>
  </si>
  <si>
    <t xml:space="preserve">compra 3 cajas mandarinas para festival del viento Agencia Sibundoy del 23 de agosto. </t>
  </si>
  <si>
    <t>FLOREZ LAGOS EDGAR HERNANDO</t>
  </si>
  <si>
    <t xml:space="preserve">PAGO DE FACTURA NETS125261 A NET ISP NIT 900502634 POR SERVICIO DE  INTERNET OCOMERCIAL MES DE AGOSTO EN LA AGENCIA DE SAN MIGUEL Y/O LA DORADA </t>
  </si>
  <si>
    <t xml:space="preserve">PAGO FACTURA FE-726 A NELSON ZAMBRANO Y/O SEGURIDADI NTEL NIT 18127828 POR SERVICIO DE MONOTERO Y ALARMA MES DE AGOSTO 2025 </t>
  </si>
  <si>
    <t xml:space="preserve">PAGO FACTURA SMD 860 Y SMD 866 A NOVACOM NIT 900620983 POR SERVICIO DE INTERNET EN LA AGENCIA DE LA DORADA </t>
  </si>
  <si>
    <t xml:space="preserve">PAGO FACTURA SERF947 A SERLOGYC NIT 900579315 POR ACCESO AL SOFTWARE DE GESTION DEI NFORMACION FINANCIERA INN-REPORT DURANTE EL MES DE OCTUBRE 2025 </t>
  </si>
  <si>
    <t xml:space="preserve">Contabilizacion compra refrigerios festival del viento Agencia Sibundoy 23 de agosto </t>
  </si>
  <si>
    <t>DIAZ MONTENEGRO YULI MARICEL</t>
  </si>
  <si>
    <t>Etiquetas de fila</t>
  </si>
  <si>
    <t>Total general</t>
  </si>
  <si>
    <t>Suma de CREDITOS</t>
  </si>
  <si>
    <t>3-NumeroDeIdentificacion</t>
  </si>
  <si>
    <t>4-Dv</t>
  </si>
  <si>
    <t>10-Direccion</t>
  </si>
  <si>
    <t>11-Departamento</t>
  </si>
  <si>
    <t>12-Municipio</t>
  </si>
  <si>
    <t>13-Telefono</t>
  </si>
  <si>
    <t>14-CorreoElectronico</t>
  </si>
  <si>
    <t>PALACIOS</t>
  </si>
  <si>
    <t>FLORES</t>
  </si>
  <si>
    <t>DIEGO</t>
  </si>
  <si>
    <t>HERNAN</t>
  </si>
  <si>
    <t>PARDO</t>
  </si>
  <si>
    <t>VALENCIA</t>
  </si>
  <si>
    <t>CARLOS</t>
  </si>
  <si>
    <t>HERNANDO</t>
  </si>
  <si>
    <t>ROSERO</t>
  </si>
  <si>
    <t>ORDOÑEZ</t>
  </si>
  <si>
    <t>JIME</t>
  </si>
  <si>
    <t>ALEXANDER</t>
  </si>
  <si>
    <t>ARIAS</t>
  </si>
  <si>
    <t>BETANCUR</t>
  </si>
  <si>
    <t>JORGE</t>
  </si>
  <si>
    <t>ALBERTO</t>
  </si>
  <si>
    <t>TOVAR</t>
  </si>
  <si>
    <t>JESUS</t>
  </si>
  <si>
    <t>ANTONIO</t>
  </si>
  <si>
    <t>PATIÑO</t>
  </si>
  <si>
    <t>ESPAÑA</t>
  </si>
  <si>
    <t>ESTEBAN</t>
  </si>
  <si>
    <t>GUERRA</t>
  </si>
  <si>
    <t>SANCHEZ</t>
  </si>
  <si>
    <t>ARTEMIO</t>
  </si>
  <si>
    <t>ZAMBRANO</t>
  </si>
  <si>
    <t>CORAL</t>
  </si>
  <si>
    <t>LISIMACO</t>
  </si>
  <si>
    <t>SALOMON</t>
  </si>
  <si>
    <t>ALPALA</t>
  </si>
  <si>
    <t>LUIS</t>
  </si>
  <si>
    <t>CAMILO</t>
  </si>
  <si>
    <t>RAMOS</t>
  </si>
  <si>
    <t>ZUÑIGA</t>
  </si>
  <si>
    <t>OLIVER</t>
  </si>
  <si>
    <t>ENRIQUEZ</t>
  </si>
  <si>
    <t>MONTENEGRO</t>
  </si>
  <si>
    <t>ELKIN</t>
  </si>
  <si>
    <t>LUGO</t>
  </si>
  <si>
    <t>CEBALLOS</t>
  </si>
  <si>
    <t>BASTIDAS</t>
  </si>
  <si>
    <t>VICENTE</t>
  </si>
  <si>
    <t>CHICA</t>
  </si>
  <si>
    <t>CORDOBA</t>
  </si>
  <si>
    <t>JAVIER</t>
  </si>
  <si>
    <t>REINOSO</t>
  </si>
  <si>
    <t>CASTILLO</t>
  </si>
  <si>
    <t>WILLYE</t>
  </si>
  <si>
    <t>BACCA</t>
  </si>
  <si>
    <t>ROMO</t>
  </si>
  <si>
    <t>HECTOR</t>
  </si>
  <si>
    <t>ERAZO</t>
  </si>
  <si>
    <t>ACOSTA</t>
  </si>
  <si>
    <t>ALEJANDRO</t>
  </si>
  <si>
    <t>GORDILLO</t>
  </si>
  <si>
    <t>GUZMAN</t>
  </si>
  <si>
    <t>ALIPIO</t>
  </si>
  <si>
    <t>PANTOJA</t>
  </si>
  <si>
    <t>ENRIQUE</t>
  </si>
  <si>
    <t>ALVAREZ</t>
  </si>
  <si>
    <t>RUIZ</t>
  </si>
  <si>
    <t>GERMAN</t>
  </si>
  <si>
    <t>RUA</t>
  </si>
  <si>
    <t>CAMPAÑA</t>
  </si>
  <si>
    <t>CRISTIAN</t>
  </si>
  <si>
    <t>ELDER</t>
  </si>
  <si>
    <t>IMBACHI</t>
  </si>
  <si>
    <t>BENAVIDES</t>
  </si>
  <si>
    <t>EDINSON</t>
  </si>
  <si>
    <t>MONCAYO</t>
  </si>
  <si>
    <t>YESID</t>
  </si>
  <si>
    <t>BERNARDO</t>
  </si>
  <si>
    <t>MUÑOZ</t>
  </si>
  <si>
    <t>CERON</t>
  </si>
  <si>
    <t>GIOVANNY</t>
  </si>
  <si>
    <t>DUARTE</t>
  </si>
  <si>
    <t>NELSON</t>
  </si>
  <si>
    <t>FABIO</t>
  </si>
  <si>
    <t>PORTILLA</t>
  </si>
  <si>
    <t>JAIME</t>
  </si>
  <si>
    <t>GALINDEZ</t>
  </si>
  <si>
    <t>ARTURO</t>
  </si>
  <si>
    <t>MORIANO</t>
  </si>
  <si>
    <t>VIVEROS</t>
  </si>
  <si>
    <t>YINGUER</t>
  </si>
  <si>
    <t>MARCELO</t>
  </si>
  <si>
    <t>URQUIJO</t>
  </si>
  <si>
    <t>CHAVEZ</t>
  </si>
  <si>
    <t>DUCARDO</t>
  </si>
  <si>
    <t>JEMBER</t>
  </si>
  <si>
    <t>MORA</t>
  </si>
  <si>
    <t>MAMIAN</t>
  </si>
  <si>
    <t>JOSE</t>
  </si>
  <si>
    <t>LIBARDO</t>
  </si>
  <si>
    <t>LUCERO</t>
  </si>
  <si>
    <t>MIGUEL</t>
  </si>
  <si>
    <t>ANGEL</t>
  </si>
  <si>
    <t>NASTACUAS</t>
  </si>
  <si>
    <t>CUARAN</t>
  </si>
  <si>
    <t>MILTON</t>
  </si>
  <si>
    <t>RODRIGUEZ</t>
  </si>
  <si>
    <t>DIAZ</t>
  </si>
  <si>
    <t>OSCAR</t>
  </si>
  <si>
    <t>POLANIA</t>
  </si>
  <si>
    <t>ROJAS</t>
  </si>
  <si>
    <t>WILLIAM</t>
  </si>
  <si>
    <t>VARGAS</t>
  </si>
  <si>
    <t>ROSAS</t>
  </si>
  <si>
    <t>HERMES</t>
  </si>
  <si>
    <t>GARZON</t>
  </si>
  <si>
    <t>JIMENEZ</t>
  </si>
  <si>
    <t>HIPOLITO</t>
  </si>
  <si>
    <t>BERMUDEZ</t>
  </si>
  <si>
    <t>MAYELY</t>
  </si>
  <si>
    <t>GONZALEZ</t>
  </si>
  <si>
    <t>MARIA</t>
  </si>
  <si>
    <t>INES</t>
  </si>
  <si>
    <t>SANDOVAL</t>
  </si>
  <si>
    <t>MALLAMA</t>
  </si>
  <si>
    <t>RUDH</t>
  </si>
  <si>
    <t>DEL</t>
  </si>
  <si>
    <t>PILAR</t>
  </si>
  <si>
    <t>GARCES</t>
  </si>
  <si>
    <t>HERNANDEZ</t>
  </si>
  <si>
    <t>ALBA</t>
  </si>
  <si>
    <t>LUCIA</t>
  </si>
  <si>
    <t>DOMINGUEZ</t>
  </si>
  <si>
    <t>MATABAJOY</t>
  </si>
  <si>
    <t>LORENA</t>
  </si>
  <si>
    <t>HORTENCIA</t>
  </si>
  <si>
    <t>ANDRADE</t>
  </si>
  <si>
    <t>LADY</t>
  </si>
  <si>
    <t>YOHANNA</t>
  </si>
  <si>
    <t>SOTO</t>
  </si>
  <si>
    <t>ARANDA</t>
  </si>
  <si>
    <t>LUISA</t>
  </si>
  <si>
    <t>ARCILA</t>
  </si>
  <si>
    <t>ELVIA</t>
  </si>
  <si>
    <t>PORTOCARRERO</t>
  </si>
  <si>
    <t>VENY</t>
  </si>
  <si>
    <t>GUINCHIN</t>
  </si>
  <si>
    <t>ESTRADA</t>
  </si>
  <si>
    <t>NORY</t>
  </si>
  <si>
    <t>RUALES</t>
  </si>
  <si>
    <t>RUTH</t>
  </si>
  <si>
    <t>JANETH</t>
  </si>
  <si>
    <t>PASCAL</t>
  </si>
  <si>
    <t>GUANGA</t>
  </si>
  <si>
    <t>NELLY</t>
  </si>
  <si>
    <t>CUACES</t>
  </si>
  <si>
    <t>DORIS</t>
  </si>
  <si>
    <t>ALICIA</t>
  </si>
  <si>
    <t>SOLARTE</t>
  </si>
  <si>
    <t>AIDA</t>
  </si>
  <si>
    <t>MOLINA</t>
  </si>
  <si>
    <t>ARACELY</t>
  </si>
  <si>
    <t>GUERRERO</t>
  </si>
  <si>
    <t>MARY</t>
  </si>
  <si>
    <t>LUZ</t>
  </si>
  <si>
    <t>MEJIA</t>
  </si>
  <si>
    <t>HAYLEN</t>
  </si>
  <si>
    <t>ESPANA</t>
  </si>
  <si>
    <t>BURBANO</t>
  </si>
  <si>
    <t>NOHORA</t>
  </si>
  <si>
    <t>ZORAIDA</t>
  </si>
  <si>
    <t>CAYCEDO</t>
  </si>
  <si>
    <t>MARTHA</t>
  </si>
  <si>
    <t>YURIBIA</t>
  </si>
  <si>
    <t>BOLIVAR</t>
  </si>
  <si>
    <t>REYES</t>
  </si>
  <si>
    <t>ERIKA</t>
  </si>
  <si>
    <t>YALLINNE</t>
  </si>
  <si>
    <t>LOPEZ</t>
  </si>
  <si>
    <t>CARMONA</t>
  </si>
  <si>
    <t>BIBIANA</t>
  </si>
  <si>
    <t>YANET</t>
  </si>
  <si>
    <t>LUPE</t>
  </si>
  <si>
    <t>CARMELA</t>
  </si>
  <si>
    <t>RAMIREZ</t>
  </si>
  <si>
    <t>CECILIA</t>
  </si>
  <si>
    <t>NOPIA</t>
  </si>
  <si>
    <t>ADIELA</t>
  </si>
  <si>
    <t>MUTUMBAJOY</t>
  </si>
  <si>
    <t>GENNY</t>
  </si>
  <si>
    <t>DUQUE</t>
  </si>
  <si>
    <t>MARLLY</t>
  </si>
  <si>
    <t>KATALINA</t>
  </si>
  <si>
    <t>VALLEJO</t>
  </si>
  <si>
    <t>GARCIA</t>
  </si>
  <si>
    <t>SANDRA</t>
  </si>
  <si>
    <t>PATRICIA</t>
  </si>
  <si>
    <t>GAVIRIA</t>
  </si>
  <si>
    <t>ANDREA</t>
  </si>
  <si>
    <t>JOHANA</t>
  </si>
  <si>
    <t>EMILSE</t>
  </si>
  <si>
    <t>NARVAEZ</t>
  </si>
  <si>
    <t>MARROQUIN</t>
  </si>
  <si>
    <t>YEIGUAJE</t>
  </si>
  <si>
    <t>LEONOR</t>
  </si>
  <si>
    <t>BALLESTEROS</t>
  </si>
  <si>
    <t>EDGAR</t>
  </si>
  <si>
    <t>OVIDIO</t>
  </si>
  <si>
    <t>JOAN</t>
  </si>
  <si>
    <t>ODAIR</t>
  </si>
  <si>
    <t>GIRALDO</t>
  </si>
  <si>
    <t>ARISTIZABAL</t>
  </si>
  <si>
    <t>OSPINA</t>
  </si>
  <si>
    <t>ANCIZAR</t>
  </si>
  <si>
    <t>BERMUDES</t>
  </si>
  <si>
    <t>OMAR</t>
  </si>
  <si>
    <t>ARMANDO</t>
  </si>
  <si>
    <t>HUMBERTO</t>
  </si>
  <si>
    <t>JUVENCIO</t>
  </si>
  <si>
    <t>TREJOS</t>
  </si>
  <si>
    <t>MORALES</t>
  </si>
  <si>
    <t>JUAN</t>
  </si>
  <si>
    <t>PABLO</t>
  </si>
  <si>
    <t>CAICEDO</t>
  </si>
  <si>
    <t>ALFREDO</t>
  </si>
  <si>
    <t>OCAMPO</t>
  </si>
  <si>
    <t>VIRGILIO</t>
  </si>
  <si>
    <t>RUBIO</t>
  </si>
  <si>
    <t>NAVIA</t>
  </si>
  <si>
    <t>GUEVARA</t>
  </si>
  <si>
    <t>MARLY</t>
  </si>
  <si>
    <t>GONZALES</t>
  </si>
  <si>
    <t>WILSON</t>
  </si>
  <si>
    <t>MARTIN</t>
  </si>
  <si>
    <t>LASSO</t>
  </si>
  <si>
    <t>GERARDO</t>
  </si>
  <si>
    <t>FLOREZ</t>
  </si>
  <si>
    <t>LAGOS</t>
  </si>
  <si>
    <t>JOSA</t>
  </si>
  <si>
    <t>LARA</t>
  </si>
  <si>
    <t>CABRERA</t>
  </si>
  <si>
    <t>MARIO</t>
  </si>
  <si>
    <t>FERNANDO</t>
  </si>
  <si>
    <t>HAROLD</t>
  </si>
  <si>
    <t>RAMIRO</t>
  </si>
  <si>
    <t>SIBUNDOY</t>
  </si>
  <si>
    <t>SERVICIOS</t>
  </si>
  <si>
    <t>GAMBOA</t>
  </si>
  <si>
    <t>NATALIA</t>
  </si>
  <si>
    <t>CHAVES</t>
  </si>
  <si>
    <t>MUESES</t>
  </si>
  <si>
    <t>MARYELING</t>
  </si>
  <si>
    <t>YESENIA</t>
  </si>
  <si>
    <t>PIMENTEL</t>
  </si>
  <si>
    <t>BARREIRO</t>
  </si>
  <si>
    <t>RUANO</t>
  </si>
  <si>
    <t>SHAYD</t>
  </si>
  <si>
    <t>AUGUSTO</t>
  </si>
  <si>
    <t>CIFUENTES</t>
  </si>
  <si>
    <t>AGATON</t>
  </si>
  <si>
    <t>INGRID</t>
  </si>
  <si>
    <t>YULIETH</t>
  </si>
  <si>
    <t>YULY</t>
  </si>
  <si>
    <t>FERNANDA</t>
  </si>
  <si>
    <t>URIBE</t>
  </si>
  <si>
    <t>JHON</t>
  </si>
  <si>
    <t>JAIRO</t>
  </si>
  <si>
    <t>TELLO</t>
  </si>
  <si>
    <t>JULIAN</t>
  </si>
  <si>
    <t>DAVID</t>
  </si>
  <si>
    <t>JOJOA</t>
  </si>
  <si>
    <t>YOLDANY</t>
  </si>
  <si>
    <t>MAYERLI</t>
  </si>
  <si>
    <t>SANTAMARIA</t>
  </si>
  <si>
    <t>YILMAR</t>
  </si>
  <si>
    <t>JHONATAN</t>
  </si>
  <si>
    <t>CINDY</t>
  </si>
  <si>
    <t>JOHANNA</t>
  </si>
  <si>
    <t>VILLOTA</t>
  </si>
  <si>
    <t>MACIAS</t>
  </si>
  <si>
    <t>DIANA</t>
  </si>
  <si>
    <t>MARITZA</t>
  </si>
  <si>
    <t>MARCELA</t>
  </si>
  <si>
    <t>BOTINA</t>
  </si>
  <si>
    <t>VINASCO</t>
  </si>
  <si>
    <t>CARVAJAL</t>
  </si>
  <si>
    <t>WILDER</t>
  </si>
  <si>
    <t>YULI</t>
  </si>
  <si>
    <t>MARICEL</t>
  </si>
  <si>
    <t>MAYA</t>
  </si>
  <si>
    <t>SEBASTIAN</t>
  </si>
  <si>
    <t>ANA</t>
  </si>
  <si>
    <t>CANCHALA</t>
  </si>
  <si>
    <t>MAIRA</t>
  </si>
  <si>
    <t>ALEJANDRA</t>
  </si>
  <si>
    <t>LEONEL</t>
  </si>
  <si>
    <t>ALFONSO</t>
  </si>
  <si>
    <t>CARMEN</t>
  </si>
  <si>
    <t>ADRIANA</t>
  </si>
  <si>
    <t>MELO</t>
  </si>
  <si>
    <t>DEYVIS</t>
  </si>
  <si>
    <t>ANDERSON</t>
  </si>
  <si>
    <t>PEREZ</t>
  </si>
  <si>
    <t>PERDOMO</t>
  </si>
  <si>
    <t>CHIMBORAZO</t>
  </si>
  <si>
    <t>JANIA</t>
  </si>
  <si>
    <t>ALEXANDRA</t>
  </si>
  <si>
    <t>MORENO</t>
  </si>
  <si>
    <t>DEYANEDI</t>
  </si>
  <si>
    <t>MARISELA</t>
  </si>
  <si>
    <t>VANEGAS</t>
  </si>
  <si>
    <t>CAROL</t>
  </si>
  <si>
    <t>LISETH</t>
  </si>
  <si>
    <t>CUELLAR</t>
  </si>
  <si>
    <t>YUMBO</t>
  </si>
  <si>
    <t>NAYIBE</t>
  </si>
  <si>
    <t>LINSEI</t>
  </si>
  <si>
    <t>VILLARREAL</t>
  </si>
  <si>
    <t>CLAUDIA</t>
  </si>
  <si>
    <t>ELIZABET</t>
  </si>
  <si>
    <t>BUITRON</t>
  </si>
  <si>
    <t>GOMEZ</t>
  </si>
  <si>
    <t>SUNILDE</t>
  </si>
  <si>
    <t>RUBI</t>
  </si>
  <si>
    <t>LUCI</t>
  </si>
  <si>
    <t>OJEDA</t>
  </si>
  <si>
    <t>EDUARDO</t>
  </si>
  <si>
    <t>GALARZA</t>
  </si>
  <si>
    <t>PAREDES</t>
  </si>
  <si>
    <t>MANUEL</t>
  </si>
  <si>
    <t>EDMUNDO</t>
  </si>
  <si>
    <t>VELASCO</t>
  </si>
  <si>
    <t>GUSTAVO</t>
  </si>
  <si>
    <t>LINSEY</t>
  </si>
  <si>
    <t>PAZ</t>
  </si>
  <si>
    <t>JOANA</t>
  </si>
  <si>
    <t>CAROLINA</t>
  </si>
  <si>
    <t>PALCHUCAN</t>
  </si>
  <si>
    <t>HENRY</t>
  </si>
  <si>
    <t>MAURICIO</t>
  </si>
  <si>
    <t>LOZANO</t>
  </si>
  <si>
    <t>CHANCHI</t>
  </si>
  <si>
    <t>FABIERLY</t>
  </si>
  <si>
    <t>JHOANA</t>
  </si>
  <si>
    <t>COBO</t>
  </si>
  <si>
    <t>DAIRO</t>
  </si>
  <si>
    <t>LEYDI</t>
  </si>
  <si>
    <t>BERMEO</t>
  </si>
  <si>
    <t>MUSTAFA</t>
  </si>
  <si>
    <t>ALIA</t>
  </si>
  <si>
    <t>SAMADI</t>
  </si>
  <si>
    <t>URBANO</t>
  </si>
  <si>
    <t>YEFERSON</t>
  </si>
  <si>
    <t>ARLEY</t>
  </si>
  <si>
    <t>TAPIA</t>
  </si>
  <si>
    <t>EDISON</t>
  </si>
  <si>
    <t>NARGY</t>
  </si>
  <si>
    <t>WALTER</t>
  </si>
  <si>
    <t>DANIEL</t>
  </si>
  <si>
    <t>RIVERA</t>
  </si>
  <si>
    <t>VICTOR</t>
  </si>
  <si>
    <t>ALEXIS</t>
  </si>
  <si>
    <t>BERNAL</t>
  </si>
  <si>
    <t>MILENA</t>
  </si>
  <si>
    <t>5-PrimerApellido</t>
  </si>
  <si>
    <t>6-SegundoApellido</t>
  </si>
  <si>
    <t>7-PrimerNombre</t>
  </si>
  <si>
    <t>8-OtrosNombres</t>
  </si>
  <si>
    <t>9-RazonSocial</t>
  </si>
  <si>
    <t>COMPRAS</t>
  </si>
  <si>
    <t>BASE</t>
  </si>
  <si>
    <t>RETENCION</t>
  </si>
  <si>
    <t>VI EL RECREO DIAGONAL AL HOTEL EL RECREO</t>
  </si>
  <si>
    <t>VALLE DEL GUAMUEZ</t>
  </si>
  <si>
    <t>diegopalacios0572@gmail.com</t>
  </si>
  <si>
    <t>CL 2  No 6  - 73 UNA CUADRA ABAJO DE LA ALCALDIA</t>
  </si>
  <si>
    <t>COLON</t>
  </si>
  <si>
    <t>pardocarlos348@gmail.com</t>
  </si>
  <si>
    <t>VD BELLAVISTA  ANTES DEL PROFESOR EMILIO JARAMILLO</t>
  </si>
  <si>
    <t>carlosradio22@gmail.com</t>
  </si>
  <si>
    <t>CR 29 NO 15 06 VIA PRINCIPAL HACIA ESTACION ROMO</t>
  </si>
  <si>
    <t>PUERTO ASIS</t>
  </si>
  <si>
    <t>oraz7@hotmail.com</t>
  </si>
  <si>
    <t>VI B/ JOSE MARIA HERNANDEZ A LADO DE LA OFICINA CLARO PRINCIPAL</t>
  </si>
  <si>
    <t>MOCOA</t>
  </si>
  <si>
    <t>parrilladademancho@gmail.com</t>
  </si>
  <si>
    <t>VI CONDOMINIO DIAGONAL AL POLIDEPORTIVO</t>
  </si>
  <si>
    <t>cristianrua73@gmail.com</t>
  </si>
  <si>
    <t>CL 8 No 3 374 CASA DE LESSA HACIA ABAJO</t>
  </si>
  <si>
    <t>dafimpublicidad@gmail.com</t>
  </si>
  <si>
    <t>CL 14 No 18 175ENSEGUIDA DEL COLISEO FRENTE AL RESTAURANTE AL MAR</t>
  </si>
  <si>
    <t>seguridad-intel@hotmail.com</t>
  </si>
  <si>
    <t>VI LOS ALMENDROS DETRAS DEL COLEGIO CORREGIMIENTO DE PUERTO COLON</t>
  </si>
  <si>
    <t>LA DORADA</t>
  </si>
  <si>
    <t>jmoramamian@gmail.com</t>
  </si>
  <si>
    <t>VI NUEVO MILENIO VIA A LA ANTIGUA PLANTA DE ENERGIA ANTENAS DE RCN Y CARACOL</t>
  </si>
  <si>
    <t>miguelangel0574@hotmail.com</t>
  </si>
  <si>
    <t>VI EL PARAISO DIAGONAL ESCUELA AWA MAGNA</t>
  </si>
  <si>
    <t>janosdj1@yahoo.es</t>
  </si>
  <si>
    <t>CR 24 No 13 53ANTES DE LLEGAR AL PARQUE SAN NICOLAS ALMACEN MIKE SPORT</t>
  </si>
  <si>
    <t>hermesvargasrosas@gmail.com</t>
  </si>
  <si>
    <t>VI SAN FRANCISCO DETRAS DE LA BATERIA POR DONDE LA FAMILIA ARDILA</t>
  </si>
  <si>
    <t>mayelybermudez73@gmail.com</t>
  </si>
  <si>
    <t>CL 16 No 17 23</t>
  </si>
  <si>
    <t>supertiendaalba2@hotmail.com</t>
  </si>
  <si>
    <t>CL 12 C No 6 CERCA A LA ESCUELA CRSITO REY</t>
  </si>
  <si>
    <t>VILLAGARZON</t>
  </si>
  <si>
    <t>dominguezlorena978@gmail.com</t>
  </si>
  <si>
    <t>VI LIBERTAD DIAGONAL A LA CASETA COMUNAL</t>
  </si>
  <si>
    <t>johannatovar0706@gmail.com</t>
  </si>
  <si>
    <t>VD PUEBLO VIEJO No 8 36ENTRADA FRENTE A AL PRIMERA RAMADA</t>
  </si>
  <si>
    <t>launicamocoa@hotmail.com</t>
  </si>
  <si>
    <t>CL 8 No 14 14DIAGONAL PARQUE CENTRAL</t>
  </si>
  <si>
    <t>ORITO</t>
  </si>
  <si>
    <t>mariaveni495@gmail.com</t>
  </si>
  <si>
    <t xml:space="preserve"> FRENTE A LA CANCHA</t>
  </si>
  <si>
    <t>dayanasolarte@gmail.com</t>
  </si>
  <si>
    <t>VI LOS LAURELES FRENTE DE LA CASETA COMUNAL DEL 7 DE AGOSTO</t>
  </si>
  <si>
    <t>luzadi0607@gmail.com</t>
  </si>
  <si>
    <t>VI LA LIBERTAD FRENTE AL PARQUE PRINCIPAL JACINTO TORRES</t>
  </si>
  <si>
    <t>gennyimbachi416@yahoo.es</t>
  </si>
  <si>
    <t>VI MIRAFLORES DIAGONAL AL POLIDEPORTIVO</t>
  </si>
  <si>
    <t>sanddypat@hotmail.com</t>
  </si>
  <si>
    <t>CR 24  No 13 17 DIAGONAL BIENESTARFAMILIAR</t>
  </si>
  <si>
    <t>johanitadiaz58@hotmail.com</t>
  </si>
  <si>
    <t>VI B 29 DE MAYO ENSEGUIDA DE LA CASA DEL PROFESO EVER PIPICANO</t>
  </si>
  <si>
    <t>mariaruales.1980@gmail.com</t>
  </si>
  <si>
    <t>CL 9  No 23  - 87FRENTE ANTIGUA BOMBA BOYACA</t>
  </si>
  <si>
    <t>juanpatrejos@gmail.com</t>
  </si>
  <si>
    <t>VI CIUDADELA LA PAZ ENSEGUIDA DE LA TIENDA PALMA MZ F No3</t>
  </si>
  <si>
    <t>luisrojascaicedo@gmail.com</t>
  </si>
  <si>
    <t>VD LORO 2 DIAGONAL AL MOTEL PARADISE</t>
  </si>
  <si>
    <t>choko-0714@hotmail.com</t>
  </si>
  <si>
    <t xml:space="preserve">CL 10 CRA 27 ESQUINA </t>
  </si>
  <si>
    <t>tresfronterasfmradio@hotmail.com</t>
  </si>
  <si>
    <t>VD LORO DOS A 200 MTS DEL MOTEL PARADISE</t>
  </si>
  <si>
    <t>yeseniamar090@gmail.com</t>
  </si>
  <si>
    <t>CL 6 No 1 2</t>
  </si>
  <si>
    <t>PUERTO LEGUIZAMO</t>
  </si>
  <si>
    <t>cpimentel.b20@gmail.com</t>
  </si>
  <si>
    <t>CR 24 No 14 C 5DETRAS DEL ESCULA SAN NICALAS DETRAS DEL ANCIANATO CASA ESQUINERA DIAGONAL AL</t>
  </si>
  <si>
    <t>gilmar187@hotmail.com</t>
  </si>
  <si>
    <t>VI AMERICAS POR TIENDAS D1</t>
  </si>
  <si>
    <t>nanizvillota321@gmail.com</t>
  </si>
  <si>
    <t>CL 7  No 2  - 3 HOTEL CAUCAYA</t>
  </si>
  <si>
    <t>dianamarcela271286@gmail.com</t>
  </si>
  <si>
    <t>CR 12 No 12 65 DEL BIENESTAR FAMILIAR DOS CUADRAS BAJANDO</t>
  </si>
  <si>
    <t>yulimaricel09@gmail.com</t>
  </si>
  <si>
    <t>CR 4  No 1  - 2   AL RESPALDO DEL RANCHO EL PAISA</t>
  </si>
  <si>
    <t>botinaanalucia62@gmail.com</t>
  </si>
  <si>
    <t>CR 21 No 15 Y 16BAJANDO POR LA DESTAPADA DEL HYS INGENIERIA</t>
  </si>
  <si>
    <t>malejandracanchala_14@hotmail.com</t>
  </si>
  <si>
    <t>MZ B CA 47  BAJANDO POR LA VIRGEN DEL FATIMA</t>
  </si>
  <si>
    <t>carmenaliciaj1990@gmail.com</t>
  </si>
  <si>
    <t>CL 16 No 20 21 EN MISELANIA EL CEDRO</t>
  </si>
  <si>
    <t>ositaosiito@gmail.com</t>
  </si>
  <si>
    <t>MZ E CASA 14</t>
  </si>
  <si>
    <t>jolupe369@gmail.com</t>
  </si>
  <si>
    <t>VI 20 DE JULIO ANTES DE NATURISTA BETEL</t>
  </si>
  <si>
    <t>janiayoguresamazonicos@gmail.com</t>
  </si>
  <si>
    <t>MZ Q LOTE No 3 POR LA CALLE DE LOS RESALTOS A MANO DERECHA CASA DE 2 PISOS</t>
  </si>
  <si>
    <t>deyanedicarvajal@gmail.com</t>
  </si>
  <si>
    <t>VI TEQUENDAMA DIAGONAL FERRETERIA ESQUINERA</t>
  </si>
  <si>
    <t>linseicuellar1998@gmail.com</t>
  </si>
  <si>
    <t>VI LA LIBERTAD DIAGONAL AL COLEGIO</t>
  </si>
  <si>
    <t>cvillarealrojas@gmail.com</t>
  </si>
  <si>
    <t>VI COLOMBIA SEGUNDA ETAPA CASA ESQUINERA DIAGONAL A LA CANCHA</t>
  </si>
  <si>
    <t>brayruby1988@gmail.com</t>
  </si>
  <si>
    <t>VI LAS VEGAS DESPUES DEL PUENTE 3 CUADRAS ARRIBA A MANO DERECHA</t>
  </si>
  <si>
    <t>luisf7.c@hotmail.com</t>
  </si>
  <si>
    <t>VI LA UNION UNA CUADRA MAS ARRIBA GIRA A LA IZQUIERDA  RESPALDO  DE CABILDA</t>
  </si>
  <si>
    <t>johanapazp18@gmail.com</t>
  </si>
  <si>
    <t>CRA 13A  No 3-62</t>
  </si>
  <si>
    <t>percubatericio@hotmail.com</t>
  </si>
  <si>
    <t>VI COLINAS DE VILLANUEVA CERCA A LA  CASA BARRERA</t>
  </si>
  <si>
    <t>fabierly.2605@gmail.com</t>
  </si>
  <si>
    <t>VI LAS AMERICAS N No 7 09 A MANO DERECHA DOS CUADRAS ABAJO DEL POLIDEPORTIVO CASA DE REJAS</t>
  </si>
  <si>
    <t>johana_g.m@hotmail.com</t>
  </si>
  <si>
    <t>MZ 2  LT 5  CALLE 10 -CARRERA 3</t>
  </si>
  <si>
    <t>claudiamab990@gmail.com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</si>
</sst>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3" fontId="18" fillId="33" borderId="10" xfId="43" applyNumberFormat="1" applyFill="1" applyBorder="1" applyAlignment="1">
      <alignment vertical="center"/>
    </xf>
    <xf numFmtId="43" fontId="0" fillId="0" borderId="0" xfId="1" applyFont="1" applyAlignment="1">
      <alignment horizontal="center"/>
    </xf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rmal 2" xfId="43" xr:uid="{C826682E-3BAC-4934-B059-49FFAE20AC0D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MOCCONTA" refreshedDate="46189.676654513889" createdVersion="8" refreshedVersion="8" minRefreshableVersion="3" recordCount="92" xr:uid="{FE611120-E10F-45B2-894C-C905B3B32FBA}">
  <cacheSource type="worksheet">
    <worksheetSource ref="A1:U93" sheet="mocoa"/>
  </cacheSource>
  <cacheFields count="21">
    <cacheField name="TIP DOC." numFmtId="0">
      <sharedItems/>
    </cacheField>
    <cacheField name="NUM.DOC" numFmtId="0">
      <sharedItems containsSemiMixedTypes="0" containsString="0" containsNumber="1" containsInteger="1" minValue="1000030" maxValue="8000068"/>
    </cacheField>
    <cacheField name="FECHA_MOV" numFmtId="14">
      <sharedItems containsSemiMixedTypes="0" containsNonDate="0" containsDate="1" containsString="0" minDate="2025-01-09T00:00:00" maxDate="2025-12-31T00:00:00"/>
    </cacheField>
    <cacheField name="SUC." numFmtId="0">
      <sharedItems containsSemiMixedTypes="0" containsString="0" containsNumber="1" containsInteger="1" minValue="1" maxValue="8"/>
    </cacheField>
    <cacheField name="SUC. DET" numFmtId="0">
      <sharedItems containsSemiMixedTypes="0" containsString="0" containsNumber="1" containsInteger="1" minValue="1" maxValue="1"/>
    </cacheField>
    <cacheField name="C_COSTO" numFmtId="0">
      <sharedItems containsSemiMixedTypes="0" containsString="0" containsNumber="1" containsInteger="1" minValue="999" maxValue="999"/>
    </cacheField>
    <cacheField name="NOM_CCOSTO" numFmtId="0">
      <sharedItems/>
    </cacheField>
    <cacheField name="TIPO DCR." numFmtId="0">
      <sharedItems containsNonDate="0" containsString="0" containsBlank="1"/>
    </cacheField>
    <cacheField name="NUM_DCR" numFmtId="0">
      <sharedItems containsNonDate="0" containsString="0" containsBlank="1"/>
    </cacheField>
    <cacheField name="CUENTA" numFmtId="0">
      <sharedItems containsSemiMixedTypes="0" containsString="0" containsNumber="1" containsInteger="1" minValue="24480501" maxValue="24480502"/>
    </cacheField>
    <cacheField name="NOM_CUENTA" numFmtId="0">
      <sharedItems/>
    </cacheField>
    <cacheField name="NIT O C.C." numFmtId="0">
      <sharedItems containsSemiMixedTypes="0" containsString="0" containsNumber="1" containsInteger="1" minValue="800102891" maxValue="800102891"/>
    </cacheField>
    <cacheField name="NOMBRE TERCERO" numFmtId="0">
      <sharedItems/>
    </cacheField>
    <cacheField name="BASES_IMP" numFmtId="43">
      <sharedItems containsSemiMixedTypes="0" containsString="0" containsNumber="1" containsInteger="1" minValue="200000" maxValue="12436974"/>
    </cacheField>
    <cacheField name="DEBITOS" numFmtId="43">
      <sharedItems containsSemiMixedTypes="0" containsString="0" containsNumber="1" containsInteger="1" minValue="0" maxValue="0"/>
    </cacheField>
    <cacheField name="CREDITOS" numFmtId="43">
      <sharedItems containsSemiMixedTypes="0" containsString="0" containsNumber="1" containsInteger="1" minValue="2000" maxValue="72500"/>
    </cacheField>
    <cacheField name="MOVIMIENTO" numFmtId="0">
      <sharedItems/>
    </cacheField>
    <cacheField name="USUARIO" numFmtId="0">
      <sharedItems/>
    </cacheField>
    <cacheField name="AÑO" numFmtId="0">
      <sharedItems containsSemiMixedTypes="0" containsString="0" containsNumber="1" containsInteger="1" minValue="2025" maxValue="2025"/>
    </cacheField>
    <cacheField name="NIT O C.C. TERC" numFmtId="0">
      <sharedItems containsSemiMixedTypes="0" containsString="0" containsNumber="1" containsInteger="1" minValue="5348917" maxValue="1126003236" count="43">
        <n v="900437268"/>
        <n v="830145805"/>
        <n v="18145427"/>
        <n v="900774181"/>
        <n v="1010081868"/>
        <n v="1124850208"/>
        <n v="18127828"/>
        <n v="1124853065"/>
        <n v="1126003236"/>
        <n v="93407539"/>
        <n v="18126274"/>
        <n v="12997019"/>
        <n v="800102891"/>
        <n v="41101376"/>
        <n v="1122726016"/>
        <n v="1006663258"/>
        <n v="1124861395"/>
        <n v="80274379"/>
        <n v="18125023"/>
        <n v="1124852279"/>
        <n v="846001061"/>
        <n v="901452326"/>
        <n v="18126542"/>
        <n v="87101363"/>
        <n v="814000143"/>
        <n v="1083896745"/>
        <n v="18130206"/>
        <n v="69009268"/>
        <n v="18127050"/>
        <n v="40079253"/>
        <n v="18127030"/>
        <n v="901358847"/>
        <n v="1124849956"/>
        <n v="79278081"/>
        <n v="48600248"/>
        <n v="41170105"/>
        <n v="18125303"/>
        <n v="5348917"/>
        <n v="1124850571"/>
        <n v="1124848865"/>
        <n v="69007663"/>
        <n v="17655791"/>
        <n v="87680094"/>
      </sharedItems>
    </cacheField>
    <cacheField name="NOMBRE TER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O"/>
    <n v="1000030"/>
    <d v="2025-01-09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 1221 HYDRA SOLUCIONES EMPRESARIALES INGENIERIA SAS NIT 900437268 POR SERVICIO DEI NTERNERT EN LA AGENCIA DE MOCOA MES DE ENERO 2025 "/>
    <s v="HPARRA"/>
    <n v="2025"/>
    <x v="0"/>
    <s v="HYDRA SOLUCIONES EMPRESARIALES INGENIERIA SAS   "/>
  </r>
  <r>
    <s v="CO"/>
    <n v="1000106"/>
    <d v="2025-01-22T00:00:00"/>
    <n v="1"/>
    <n v="1"/>
    <n v="999"/>
    <s v="Default"/>
    <m/>
    <m/>
    <n v="24480502"/>
    <s v="Compras"/>
    <n v="800102891"/>
    <s v="ALCALDIA DE MOCOA   "/>
    <n v="12436974"/>
    <n v="0"/>
    <n v="62185"/>
    <s v="Contabilización compra dos motocicletas Wave 110s a Maquinagro SA nit 830145805 por valor de $14.800.000 según cotización adjunta y facturasEHK390 - EHK 391 campaña aportes "/>
    <s v="ANVER"/>
    <n v="2025"/>
    <x v="1"/>
    <s v="MAQUINAGRO S A   "/>
  </r>
  <r>
    <s v="CO"/>
    <n v="1000121"/>
    <d v="2025-01-27T00:00:00"/>
    <n v="1"/>
    <n v="1"/>
    <n v="999"/>
    <s v="Default"/>
    <m/>
    <m/>
    <n v="24480501"/>
    <s v="Servicios"/>
    <n v="800102891"/>
    <s v="ALCALDIA DE MOCOA   "/>
    <n v="6594803"/>
    <n v="0"/>
    <n v="65948"/>
    <s v="Contabilización pago fra FVD-1 a Ducardo Jember Urquijo por concepto de servicio Revisoria Fiscal Cootep mes de enero por valor de $6.594.803 "/>
    <s v="ANVER"/>
    <n v="2025"/>
    <x v="2"/>
    <s v="URQUIJO CHAVEZ DUCARDO JEMBER"/>
  </r>
  <r>
    <s v="CO"/>
    <n v="1000129"/>
    <d v="2025-01-29T00:00:00"/>
    <n v="1"/>
    <n v="1"/>
    <n v="999"/>
    <s v="Default"/>
    <m/>
    <m/>
    <n v="24480501"/>
    <s v="Servicios"/>
    <n v="800102891"/>
    <s v="ALCALDIA DE MOCOA   "/>
    <n v="1170000"/>
    <n v="0"/>
    <n v="11700"/>
    <s v="PAGO DE FACTURA FE9096 A SIGO IPS NIT 900774181 POR EXAMENES DE INGRESO EN LA AGENCIA DE PTO LEGUIZAMO "/>
    <s v="HPARRA"/>
    <n v="2025"/>
    <x v="3"/>
    <s v="SOLUCIONES INTEGRALES EN GESTION OCUPACIONAL   "/>
  </r>
  <r>
    <s v="CO"/>
    <n v="1000138"/>
    <d v="2025-01-30T00:00:00"/>
    <n v="1"/>
    <n v="1"/>
    <n v="999"/>
    <s v="Default"/>
    <m/>
    <m/>
    <n v="24480502"/>
    <s v="Compras"/>
    <n v="800102891"/>
    <s v="ALCALDIA DE MOCOA   "/>
    <n v="595000"/>
    <n v="0"/>
    <n v="2975"/>
    <s v="PAGO A CHAVES ACOSTA YULY FERNANDA CC 1010081868 PORCOMPRA  DE PENDONES PARA AREA COMERCIAL "/>
    <s v="HPARRA"/>
    <n v="2025"/>
    <x v="4"/>
    <s v="CHAVES ACOSTA YULY FERNANDA"/>
  </r>
  <r>
    <s v="CO"/>
    <n v="1000149"/>
    <d v="2025-02-03T00:00:00"/>
    <n v="1"/>
    <n v="1"/>
    <n v="999"/>
    <s v="Default"/>
    <m/>
    <m/>
    <n v="24480501"/>
    <s v="Servicios"/>
    <n v="800102891"/>
    <s v="ALCALDIA DE MOCOA   "/>
    <n v="480000"/>
    <n v="0"/>
    <n v="4800"/>
    <s v="PAGO FACTURA A HYDRA SOLUCIONES EMPRESARIALES INGENIERIA SAS CC 900437268 POR SERVICIO DE INTERNET AGENCIA MOCOA MES DE FEBRERO 2025 "/>
    <s v="HPARRA"/>
    <n v="2025"/>
    <x v="0"/>
    <s v="HYDRA SOLUCIONES EMPRESARIALES INGENIERIA SAS   "/>
  </r>
  <r>
    <s v="CO"/>
    <n v="1000258"/>
    <d v="2025-02-11T00:00:00"/>
    <n v="1"/>
    <n v="1"/>
    <n v="999"/>
    <s v="Default"/>
    <m/>
    <m/>
    <n v="24480502"/>
    <s v="Compras"/>
    <n v="800102891"/>
    <s v="ALCALDIA DE MOCOA   "/>
    <n v="2095000"/>
    <n v="0"/>
    <n v="12570"/>
    <s v="PAGO FACTURA fev34 a RUIZ GONZALEZ LINSEY MARICEL CC 1124850208 POR COMPRA DE EQUIPOS INSTALADOS EN LA AGENCIA DE COOTEP SIBUNDOY "/>
    <s v="HPARRA"/>
    <n v="2025"/>
    <x v="5"/>
    <s v="RUIZ GONZALEZ LINSEY MARICEL"/>
  </r>
  <r>
    <s v="NA"/>
    <n v="1000697"/>
    <d v="2025-02-24T00:00:00"/>
    <n v="1"/>
    <n v="1"/>
    <n v="999"/>
    <s v="Default"/>
    <m/>
    <m/>
    <n v="24480501"/>
    <s v="Servicios"/>
    <n v="800102891"/>
    <s v="ALCALDIA DE MOCOA   "/>
    <n v="1964075"/>
    <n v="0"/>
    <n v="19640"/>
    <s v="PAGO FACTURA FE-651 A ZAMBRANO DUARTE NELSON FABIO CC 18127828 POR SERVICIO DE MONITOREO DE ALARMAS Y CAMARAS DE VIGILANCIA MES FEBRERO 2025 "/>
    <s v="ANARVA"/>
    <n v="2025"/>
    <x v="6"/>
    <s v="ZAMBRANO DUARTE NELSON FABIO"/>
  </r>
  <r>
    <s v="CO"/>
    <n v="1000350"/>
    <d v="2025-02-25T00:00:00"/>
    <n v="1"/>
    <n v="1"/>
    <n v="999"/>
    <s v="Default"/>
    <m/>
    <m/>
    <n v="24480501"/>
    <s v="Servicios"/>
    <n v="800102891"/>
    <s v="ALCALDIA DE MOCOA   "/>
    <n v="733000"/>
    <n v="0"/>
    <n v="7330"/>
    <s v="LEGALIZACION ANTICIPO  ORGANIZACION Y DESARROLLO REUNIONES INFORMATIVAS 2025 "/>
    <s v="IVAROM"/>
    <n v="2025"/>
    <x v="7"/>
    <s v="LOZANO CHANCHI FABIERLY JHOANA"/>
  </r>
  <r>
    <s v="CO"/>
    <n v="1000383"/>
    <d v="2025-02-27T00:00:00"/>
    <n v="1"/>
    <n v="1"/>
    <n v="999"/>
    <s v="Default"/>
    <m/>
    <m/>
    <n v="24480501"/>
    <s v="Servicios"/>
    <n v="800102891"/>
    <s v="ALCALDIA DE MOCOA   "/>
    <n v="6594803"/>
    <n v="0"/>
    <n v="65948"/>
    <s v="PAGO FACTURA FVD-2 A URQUIJO CHAVEZ DUCARDO JEMBER NIT 18145427 POR HONORARIOS DE REVISORIA FISCAL COOTEP MES FEBRERO 2025 "/>
    <s v="ANARVA"/>
    <n v="2025"/>
    <x v="2"/>
    <s v="URQUIJO CHAVEZ DUCARDO JEMBER"/>
  </r>
  <r>
    <s v="CO"/>
    <n v="1000505"/>
    <d v="2025-03-13T00:00:00"/>
    <n v="1"/>
    <n v="1"/>
    <n v="999"/>
    <s v="Default"/>
    <m/>
    <m/>
    <n v="24480502"/>
    <s v="Compras"/>
    <n v="800102891"/>
    <s v="ALCALDIA DE MOCOA   "/>
    <n v="865700"/>
    <n v="0"/>
    <n v="5194"/>
    <s v="PAGO FACTURA FEV36 A RUIZ GONZALEZ LINSEY MARICEL CC 1124850208 POR COMPRA DE EQUIPOS INSTALADOS EN LAS AGENCIAS DE PTO ASIS Y LA DORADA "/>
    <s v="ANARVA"/>
    <n v="2025"/>
    <x v="5"/>
    <s v="RUIZ GONZALEZ LINSEY MARICEL"/>
  </r>
  <r>
    <s v="CO"/>
    <n v="1000585"/>
    <d v="2025-03-28T00:00:00"/>
    <n v="1"/>
    <n v="1"/>
    <n v="999"/>
    <s v="Default"/>
    <m/>
    <m/>
    <n v="24480501"/>
    <s v="Servicios"/>
    <n v="800102891"/>
    <s v="ALCALDIA DE MOCOA   "/>
    <n v="720000"/>
    <n v="0"/>
    <n v="7200"/>
    <s v="PAGO DOC SOPOR 1DSE1244 A CHAVES ACOSTA YULY FERNANDA CC 1010081868 POR PRESTACION DE SERVICIOS ELABORACION DE AFICHES Y VOLNATES PARA AREA DE MERCADEO "/>
    <s v="ANARVA"/>
    <n v="2025"/>
    <x v="4"/>
    <s v="CHAVES ACOSTA YULY FERNANDA"/>
  </r>
  <r>
    <s v="CO"/>
    <n v="1000596"/>
    <d v="2025-03-28T00:00:00"/>
    <n v="1"/>
    <n v="1"/>
    <n v="999"/>
    <s v="Default"/>
    <m/>
    <m/>
    <n v="24480501"/>
    <s v="Servicios"/>
    <n v="800102891"/>
    <s v="ALCALDIA DE MOCOA   "/>
    <n v="1571000"/>
    <n v="0"/>
    <n v="15710"/>
    <s v="PAGO DOC SOPORT 1DSE1255 A BERMEO MUSTAFA ALIA SAMADI CC 1126003236 POR ALMUERZOS DE 50 INTEGRANTES DE LA REUNION ORDINARIA DE ASAMBLEA GRAL DE DELEGADOS 29/03/25 "/>
    <s v="ANARVA"/>
    <n v="2025"/>
    <x v="8"/>
    <s v="BERMEO MUSTAFA ALIA SAMADI"/>
  </r>
  <r>
    <s v="CO"/>
    <n v="1000584"/>
    <d v="2025-03-28T00:00:00"/>
    <n v="1"/>
    <n v="1"/>
    <n v="999"/>
    <s v="Default"/>
    <m/>
    <m/>
    <n v="24480501"/>
    <s v="Servicios"/>
    <n v="800102891"/>
    <s v="ALCALDIA DE MOCOA   "/>
    <n v="6594803"/>
    <n v="0"/>
    <n v="65948"/>
    <s v="PAGO REVISORIA FISCAL MES DE MARZO 2025 A URQUIJO CHAVEZ DUCARDO JEMBER CC 18145427 "/>
    <s v="ANARVA"/>
    <n v="2025"/>
    <x v="2"/>
    <s v="URQUIJO CHAVEZ DUCARDO JEMBER"/>
  </r>
  <r>
    <s v="CO"/>
    <n v="1000607"/>
    <d v="2025-03-31T00:00:00"/>
    <n v="1"/>
    <n v="1"/>
    <n v="999"/>
    <s v="Default"/>
    <m/>
    <m/>
    <n v="24480501"/>
    <s v="Servicios"/>
    <n v="800102891"/>
    <s v="ALCALDIA DE MOCOA   "/>
    <n v="629000"/>
    <n v="0"/>
    <n v="6290"/>
    <s v="LEGALIZACION ANTICIPO A ACERO CARRILLO DIANA ALEJANDRA CC 69009123 PARA ASAMBLEA GENENRAL DE DELEGADOS "/>
    <s v="ANARVA"/>
    <n v="2025"/>
    <x v="7"/>
    <s v="LOZANO CHANCHI FABIERLY JHOANA"/>
  </r>
  <r>
    <s v="CO"/>
    <n v="1000607"/>
    <d v="2025-03-31T00:00:00"/>
    <n v="1"/>
    <n v="1"/>
    <n v="999"/>
    <s v="Default"/>
    <m/>
    <m/>
    <n v="24480501"/>
    <s v="Servicios"/>
    <n v="800102891"/>
    <s v="ALCALDIA DE MOCOA   "/>
    <n v="650000"/>
    <n v="0"/>
    <n v="6500"/>
    <s v="LEGALIZACION ANTICIPO A ACERO CARRILLO DIANA ALEJANDRA CC 69009123 PARA ASAMBLEA GENENRAL DE DELEGADOS "/>
    <s v="ANARVA"/>
    <n v="2025"/>
    <x v="9"/>
    <s v="RUBIO GUZMAN JUAN CARLOS"/>
  </r>
  <r>
    <s v="CO"/>
    <n v="1000607"/>
    <d v="2025-03-31T00:00:00"/>
    <n v="1"/>
    <n v="1"/>
    <n v="999"/>
    <s v="Default"/>
    <m/>
    <m/>
    <n v="24480501"/>
    <s v="Servicios"/>
    <n v="800102891"/>
    <s v="ALCALDIA DE MOCOA   "/>
    <n v="650000"/>
    <n v="0"/>
    <n v="6500"/>
    <s v="LEGALIZACION ANTICIPO A ACERO CARRILLO DIANA ALEJANDRA CC 69009123 PARA ASAMBLEA GENENRAL DE DELEGADOS "/>
    <s v="ANARVA"/>
    <n v="2025"/>
    <x v="10"/>
    <s v="ALVAREZ RUIZ GERMAN "/>
  </r>
  <r>
    <s v="CO"/>
    <n v="1000619"/>
    <d v="2025-04-01T00:00:00"/>
    <n v="1"/>
    <n v="1"/>
    <n v="999"/>
    <s v="Default"/>
    <m/>
    <m/>
    <n v="24480501"/>
    <s v="Servicios"/>
    <n v="800102891"/>
    <s v="ALCALDIA DE MOCOA   "/>
    <n v="2000000"/>
    <n v="0"/>
    <n v="20000"/>
    <s v="PAGO DOC SOPORT 1DSE1253 A PATIÑO ALPALA LUIS CAMILO CC 12997019 POR REVISION DEL ESTADO DE LAS INTALACIONES COOTEP REVISION DE ACOMETIDA PRINCIPAL Y ELABORACION PLANOS ELECTRICOS "/>
    <s v="ANARVA"/>
    <n v="2025"/>
    <x v="11"/>
    <s v="PATIÑO ALPALA LUIS CAMILO"/>
  </r>
  <r>
    <s v="NA"/>
    <n v="1001368"/>
    <d v="2025-04-01T00:00:00"/>
    <n v="1"/>
    <n v="1"/>
    <n v="999"/>
    <s v="Default"/>
    <m/>
    <m/>
    <n v="24480501"/>
    <s v="Servicios"/>
    <n v="800102891"/>
    <s v="ALCALDIA DE MOCOA   "/>
    <n v="1964075"/>
    <n v="0"/>
    <n v="19640"/>
    <s v="PAGO FACTURA FE-667 A ZAMBRANO DUARTE NELSON FABIO CC 18127828 POR SERVICIO DE MONITOREO DE ALARMAS MES DE MARZO 2025 "/>
    <s v="ANARVA"/>
    <n v="2025"/>
    <x v="12"/>
    <s v="ALCALDIA DE MOCOA   "/>
  </r>
  <r>
    <s v="CO"/>
    <n v="1000622"/>
    <d v="2025-04-01T00:00:00"/>
    <n v="1"/>
    <n v="1"/>
    <n v="999"/>
    <s v="Default"/>
    <m/>
    <m/>
    <n v="24480501"/>
    <s v="Servicios"/>
    <n v="800102891"/>
    <s v="ALCALDIA DE MOCOA   "/>
    <n v="1080000"/>
    <n v="0"/>
    <n v="10800"/>
    <s v="LEGALIZACION ANTICIPO A TORRES CASTRO DANNY YULIETH CC 1117550697 POR ACTIVIDAD DE BIENESTAR DEL DIA DEL HOMBRE Y LA MUJER "/>
    <s v="ANARVA"/>
    <n v="2025"/>
    <x v="13"/>
    <s v="ZAMBRANO  MARIA ELVIA"/>
  </r>
  <r>
    <s v="CO"/>
    <n v="1000756"/>
    <d v="2025-04-09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 1432 A HYDRA SOLUCIONES EMPRESARIALES INGENIERIA SAS NIT 900437268 POR SERVICIO DE INTERNET AGENCIA MOCOA MES DE ABRIL 2025 "/>
    <s v="ANARVA"/>
    <n v="2025"/>
    <x v="0"/>
    <s v="HYDRA SOLUCIONES EMPRESARIALES INGENIERIA SAS   "/>
  </r>
  <r>
    <s v="CO"/>
    <n v="1000755"/>
    <d v="2025-04-09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 1373 A HYDRA SOLUCIONES EMPRESARIALES INGENIERIA SAS NIT 900437268 POR SERVICIO DE INTERNET AGENCIA MOCOA MES DE MARZO 2025 "/>
    <s v="ANARVA"/>
    <n v="2025"/>
    <x v="0"/>
    <s v="HYDRA SOLUCIONES EMPRESARIALES INGENIERIA SAS   "/>
  </r>
  <r>
    <s v="CO"/>
    <n v="1000841"/>
    <d v="2025-04-22T00:00:00"/>
    <n v="1"/>
    <n v="1"/>
    <n v="999"/>
    <s v="Default"/>
    <m/>
    <m/>
    <n v="24480502"/>
    <s v="Compras"/>
    <n v="800102891"/>
    <s v="ALCALDIA DE MOCOA   "/>
    <n v="850000"/>
    <n v="0"/>
    <n v="5100"/>
    <s v="PAGO 1DSE1267 A YULY FERNANDA CHAVES ACOSTA CC 1010081868 POR COMPRA DE CINTAS SATINADA CON LOGO DE COOTEP 42 AÑOS "/>
    <s v="ANARVA"/>
    <n v="2025"/>
    <x v="4"/>
    <s v="CHAVES ACOSTA YULY FERNANDA"/>
  </r>
  <r>
    <s v="CO"/>
    <n v="1000854"/>
    <d v="2025-04-25T00:00:00"/>
    <n v="1"/>
    <n v="1"/>
    <n v="999"/>
    <s v="Default"/>
    <m/>
    <m/>
    <n v="24480502"/>
    <s v="Compras"/>
    <n v="800102891"/>
    <s v="ALCALDIA DE MOCOA   "/>
    <n v="1160000"/>
    <n v="0"/>
    <n v="6960"/>
    <s v="PAGO FACTURA FEV-39 A RUIZ GONZALEZ LINSEY MARICEL NIT 1124850208 POR COMPRA DE EQUIPOS INSTALADOS EN LAS OFICINAS DE COOTEP MOCOA "/>
    <s v="ANARVA"/>
    <n v="2025"/>
    <x v="5"/>
    <s v="RUIZ GONZALEZ LINSEY MARICEL"/>
  </r>
  <r>
    <s v="CO"/>
    <n v="1000855"/>
    <d v="2025-04-25T00:00:00"/>
    <n v="1"/>
    <n v="1"/>
    <n v="999"/>
    <s v="Default"/>
    <m/>
    <m/>
    <n v="24480502"/>
    <s v="Compras"/>
    <n v="800102891"/>
    <s v="ALCALDIA DE MOCOA   "/>
    <n v="580000"/>
    <n v="0"/>
    <n v="3480"/>
    <s v="PAGO FACTURA FEV-40 A RUIZ GONZALEZ LINSEY MARICEL NIT 1124850208 POR COMPRA DE EQUIPOS INSTALADOS EN LAS OFICINAS DE COOTEP ORITO "/>
    <s v="ANARVA"/>
    <n v="2025"/>
    <x v="5"/>
    <s v="RUIZ GONZALEZ LINSEY MARICEL"/>
  </r>
  <r>
    <s v="CO"/>
    <n v="1000873"/>
    <d v="2025-04-29T00:00:00"/>
    <n v="1"/>
    <n v="1"/>
    <n v="999"/>
    <s v="Default"/>
    <m/>
    <m/>
    <n v="24480501"/>
    <s v="Servicios"/>
    <n v="800102891"/>
    <s v="ALCALDIA DE MOCOA   "/>
    <n v="6594803"/>
    <n v="0"/>
    <n v="65948"/>
    <s v="PAGO FACTURA FVE-8 POR REVISORIA FISCAL MES DE ABRIL 2025 A URQUIJO CHAVEZ DUCARDO JEMBER CC 18145427 "/>
    <s v="ANARVA"/>
    <n v="2025"/>
    <x v="2"/>
    <s v="URQUIJO CHAVEZ DUCARDO JEMBER"/>
  </r>
  <r>
    <s v="NA"/>
    <n v="1001869"/>
    <d v="2025-05-06T00:00:00"/>
    <n v="1"/>
    <n v="1"/>
    <n v="999"/>
    <s v="Default"/>
    <m/>
    <m/>
    <n v="24480501"/>
    <s v="Servicios"/>
    <n v="800102891"/>
    <s v="ALCALDIA DE MOCOA   "/>
    <n v="2142985"/>
    <n v="0"/>
    <n v="21430"/>
    <s v="PAGO FACTURA FE-677 A ZAMBRANO DUARTE NELSON FABIO CC 18127828 POR SERVICIO DE MONITOREO DE ALARMAS MES DE ABRIL 2025 "/>
    <s v="ANARVA"/>
    <n v="2025"/>
    <x v="6"/>
    <s v="ZAMBRANO DUARTE NELSON FABIO"/>
  </r>
  <r>
    <s v="CO"/>
    <n v="1000960"/>
    <d v="2025-05-08T00:00:00"/>
    <n v="1"/>
    <n v="1"/>
    <n v="999"/>
    <s v="Default"/>
    <m/>
    <m/>
    <n v="24480501"/>
    <s v="Servicios"/>
    <n v="800102891"/>
    <s v="ALCALDIA DE MOCOA   "/>
    <n v="1100000"/>
    <n v="0"/>
    <n v="11000"/>
    <s v="PAGO DOC SOPORTE 1DSE A 1288 JUAN CARLOS RUBIO GUZMAN CC 93407539 POR COMPRA DE REFRIGERIOS PARA CAPACITACION DE SARC, SARL, SARO 10 MAYO 2025 "/>
    <s v="ANARVA"/>
    <n v="2025"/>
    <x v="9"/>
    <s v="RUBIO GUZMAN JUAN CARLOS"/>
  </r>
  <r>
    <s v="CO"/>
    <n v="1001013"/>
    <d v="2025-05-13T00:00:00"/>
    <n v="1"/>
    <n v="1"/>
    <n v="999"/>
    <s v="Default"/>
    <m/>
    <m/>
    <n v="24480501"/>
    <s v="Servicios"/>
    <n v="800102891"/>
    <s v="ALCALDIA DE MOCOA   "/>
    <n v="2234500"/>
    <n v="0"/>
    <n v="22345"/>
    <s v="PADO DOC SOP 1DSE1291 A WILDER VINASO CARVAJAL CC 1122726016 POR PRESTACION DE SERVICIOS REALIZACION DE DIVISIONES EN ALUMINIO E INSTALACION DE CIELO RASO EN PVC EN AGENCIA MOCOA "/>
    <s v="ANARVA"/>
    <n v="2025"/>
    <x v="14"/>
    <s v="VINASCO CARVAJAL WILDER "/>
  </r>
  <r>
    <s v="CO"/>
    <n v="1001021"/>
    <d v="2025-05-14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 1524 A HYDRA SOLUCIONES EMPRESARIALES SAS NIT 900437268 PORE SERVIVIO DE INTERNET AGENCIA MOCOA MES DE MAYO 2025 "/>
    <s v="ANARVA"/>
    <n v="2025"/>
    <x v="0"/>
    <s v="HYDRA SOLUCIONES EMPRESARIALES INGENIERIA SAS   "/>
  </r>
  <r>
    <s v="CO"/>
    <n v="8000068"/>
    <d v="2025-05-27T00:00:00"/>
    <n v="8"/>
    <n v="1"/>
    <n v="999"/>
    <s v="Default"/>
    <m/>
    <m/>
    <n v="24480501"/>
    <s v="Servicios"/>
    <n v="800102891"/>
    <s v="ALCALDIA DE MOCOA   "/>
    <n v="6594803"/>
    <n v="0"/>
    <n v="65948"/>
    <s v="Contabilización pago fra FVD-12 por concepto de revisoria fiscal a Ducardo Jember Urquijo Chavez mes de mayo 2025 por valor de $6.594.803 "/>
    <s v="ANVER"/>
    <n v="2025"/>
    <x v="2"/>
    <s v="URQUIJO CHAVEZ DUCARDO JEMBER"/>
  </r>
  <r>
    <s v="NA"/>
    <n v="1002190"/>
    <d v="2025-05-29T00:00:00"/>
    <n v="1"/>
    <n v="1"/>
    <n v="999"/>
    <s v="Default"/>
    <m/>
    <m/>
    <n v="24480501"/>
    <s v="Servicios"/>
    <n v="800102891"/>
    <s v="ALCALDIA DE MOCOA   "/>
    <n v="2142985"/>
    <n v="0"/>
    <n v="21430"/>
    <s v="PAGO FACTURA FE692 A ZAMBRANO DUARTE NELSON Y/O SEGURIDAD INTEL CC 18127828 POR SERVICIO DE MONITOREO DE ALARMAS EN MOCOA Y LAS AGENCIAS MES DE MAYO 2025 "/>
    <s v="HPARRA"/>
    <n v="2025"/>
    <x v="6"/>
    <s v="ZAMBRANO DUARTE NELSON FABIO"/>
  </r>
  <r>
    <s v="CO"/>
    <n v="1001207"/>
    <d v="2025-06-09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 1635 A HSE INGENIERIA NIT 900437268 POR SERVICIO DE INTERNET MES DE JUNIO EN LA AGENCIA DE MOCOA "/>
    <s v="HPARRA"/>
    <n v="2025"/>
    <x v="0"/>
    <s v="HYDRA SOLUCIONES EMPRESARIALES INGENIERIA SAS   "/>
  </r>
  <r>
    <s v="CO"/>
    <n v="1001232"/>
    <d v="2025-06-10T00:00:00"/>
    <n v="1"/>
    <n v="1"/>
    <n v="999"/>
    <s v="Default"/>
    <m/>
    <m/>
    <n v="24480501"/>
    <s v="Servicios"/>
    <n v="800102891"/>
    <s v="ALCALDIA DE MOCOA   "/>
    <n v="528000"/>
    <n v="0"/>
    <n v="5280"/>
    <s v="Pago a Yuli Fernanda Chaves cc 1010081868 por elaboración de certificados Sarc, Sarl, Saro por total de $528.000 "/>
    <s v="ANVER"/>
    <n v="2025"/>
    <x v="4"/>
    <s v="CHAVES ACOSTA YULY FERNANDA"/>
  </r>
  <r>
    <s v="CO"/>
    <n v="1001259"/>
    <d v="2025-06-13T00:00:00"/>
    <n v="1"/>
    <n v="1"/>
    <n v="999"/>
    <s v="Default"/>
    <m/>
    <m/>
    <n v="24480502"/>
    <s v="Compras"/>
    <n v="800102891"/>
    <s v="ALCALDIA DE MOCOA   "/>
    <n v="815388"/>
    <n v="0"/>
    <n v="4892"/>
    <s v="PAGO A SHAYD AUGUSTO RUANO CC 1006663258 POR COMPRA DE 2 SET DE MEMORIA RAM CORSAIR-VENGENACE "/>
    <s v="HPARRA"/>
    <n v="2025"/>
    <x v="15"/>
    <s v="RUANO RODRIGUEZ SHAYD AUGUSTO"/>
  </r>
  <r>
    <s v="CO"/>
    <n v="1001295"/>
    <d v="2025-06-17T00:00:00"/>
    <n v="1"/>
    <n v="1"/>
    <n v="999"/>
    <s v="Default"/>
    <m/>
    <m/>
    <n v="24480501"/>
    <s v="Servicios"/>
    <n v="800102891"/>
    <s v="ALCALDIA DE MOCOA   "/>
    <n v="5200000"/>
    <n v="0"/>
    <n v="52000"/>
    <s v="PAGO FACTURA JC28 A LEYDI JOHANA GOMEZ CC 1124861395 POR PRESTACION DE SERIVICOS COMO PROFESIONAL INDEPENDIENTE REALIZANDO  PRESENTACION INFORME EXOGENA "/>
    <s v="HPARRA"/>
    <n v="2025"/>
    <x v="16"/>
    <s v="GOMEZ MUÑOZ LEYDI JOHANA"/>
  </r>
  <r>
    <s v="CO"/>
    <n v="1001336"/>
    <d v="2025-06-24T00:00:00"/>
    <n v="1"/>
    <n v="1"/>
    <n v="999"/>
    <s v="Default"/>
    <m/>
    <m/>
    <n v="24480501"/>
    <s v="Servicios"/>
    <n v="800102891"/>
    <s v="ALCALDIA DE MOCOA   "/>
    <n v="6594803"/>
    <n v="0"/>
    <n v="65948"/>
    <s v="PAGO FACTURA FVD-19 A URQUIJO CHAVEZ DUCARDO CC 18145427 POR SERVICIO DE REVISORIA FISCAL MES DE JUNIO 2025 "/>
    <s v="HPARRA"/>
    <n v="2025"/>
    <x v="2"/>
    <s v="URQUIJO CHAVEZ DUCARDO JEMBER"/>
  </r>
  <r>
    <s v="CO"/>
    <n v="1001359"/>
    <d v="2025-06-26T00:00:00"/>
    <n v="1"/>
    <n v="1"/>
    <n v="999"/>
    <s v="Default"/>
    <m/>
    <m/>
    <n v="24480501"/>
    <s v="Servicios"/>
    <n v="800102891"/>
    <s v="ALCALDIA DE MOCOA   "/>
    <n v="623333"/>
    <n v="0"/>
    <n v="6233"/>
    <s v="PAGO FACTURA FE226 A JOSE ANCIZAR OSPINA NIT 80274379 POR MANTENIMIENTO PREVENTIVO DE UPS EN LAS AGENCIAS "/>
    <s v="HPARRA"/>
    <n v="2025"/>
    <x v="17"/>
    <s v="OSPINA VARGAS JOSE ANCIZAR"/>
  </r>
  <r>
    <s v="NA"/>
    <n v="1002687"/>
    <d v="2025-06-27T00:00:00"/>
    <n v="1"/>
    <n v="1"/>
    <n v="999"/>
    <s v="Default"/>
    <m/>
    <m/>
    <n v="24480501"/>
    <s v="Servicios"/>
    <n v="800102891"/>
    <s v="ALCALDIA DE MOCOA   "/>
    <n v="2142985"/>
    <n v="0"/>
    <n v="21430"/>
    <s v="PAGO FACTURA FE702 DE ZAMBRANO DUARTE NELSON FABIO NIT 18127828 POR SERVICIO DE MONITOREO DE CAMARAS Y/O ALARMAS MES DE JUNIO 2025 EN LAS AGENCIAS "/>
    <s v="HPARRA"/>
    <n v="2025"/>
    <x v="6"/>
    <s v="ZAMBRANO DUARTE NELSON FABIO"/>
  </r>
  <r>
    <s v="CO"/>
    <n v="1001420"/>
    <d v="2025-07-03T00:00:00"/>
    <n v="1"/>
    <n v="1"/>
    <n v="999"/>
    <s v="Default"/>
    <m/>
    <m/>
    <n v="24480502"/>
    <s v="Compras"/>
    <n v="800102891"/>
    <s v="ALCALDIA DE MOCOA   "/>
    <n v="542231"/>
    <n v="0"/>
    <n v="3253"/>
    <s v="CONTABILIZACION REINTEGRO DE GASTOS DE CAJA MENOR A LUISA FERNANDA CUERO CC 1124855204 "/>
    <s v="HPARRA"/>
    <n v="2025"/>
    <x v="18"/>
    <s v="ERAZO ACOSTA LUIS ALEJANDRO"/>
  </r>
  <r>
    <s v="CO"/>
    <n v="1001434"/>
    <d v="2025-07-04T00:00:00"/>
    <n v="1"/>
    <n v="1"/>
    <n v="999"/>
    <s v="Default"/>
    <m/>
    <m/>
    <n v="24480501"/>
    <s v="Servicios"/>
    <n v="800102891"/>
    <s v="ALCALDIA DE MOCOA   "/>
    <n v="505100"/>
    <n v="0"/>
    <n v="5051"/>
    <s v="CONTABILIZACION LEGALIZACION ANTICIPO BINGO DE LAS MADRES Y PADRES AGENCIA MOCOA "/>
    <s v="IVAROM"/>
    <n v="2025"/>
    <x v="19"/>
    <s v="SOLARTE PALCHUCAN HENRY MAURICIO"/>
  </r>
  <r>
    <s v="CO"/>
    <n v="1001434"/>
    <d v="2025-07-04T00:00:00"/>
    <n v="1"/>
    <n v="1"/>
    <n v="999"/>
    <s v="Default"/>
    <m/>
    <m/>
    <n v="24480501"/>
    <s v="Servicios"/>
    <n v="800102891"/>
    <s v="ALCALDIA DE MOCOA   "/>
    <n v="705000"/>
    <n v="0"/>
    <n v="7050"/>
    <s v="CONTABILIZACION LEGALIZACION ANTICIPO BINGO DE LAS MADRES Y PADRES AGENCIA MOCOA "/>
    <s v="IVAROM"/>
    <n v="2025"/>
    <x v="13"/>
    <s v="ZAMBRANO  MARIA ELVIA"/>
  </r>
  <r>
    <s v="CO"/>
    <n v="1001463"/>
    <d v="2025-07-08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1738 A HYDRA SOLUCIONES EMPRESARIALES NIT 900437268 POR SERVICIO DE INTERNET COMERCIAL MES DE JULIO 2025 EN LA AGENCIA DE MOCOA "/>
    <s v="HPARRA"/>
    <n v="2025"/>
    <x v="0"/>
    <s v="HYDRA SOLUCIONES EMPRESARIALES INGENIERIA SAS   "/>
  </r>
  <r>
    <s v="CO"/>
    <n v="1001545"/>
    <d v="2025-07-17T00:00:00"/>
    <n v="1"/>
    <n v="1"/>
    <n v="999"/>
    <s v="Default"/>
    <m/>
    <m/>
    <n v="24480501"/>
    <s v="Servicios"/>
    <n v="800102891"/>
    <s v="ALCALDIA DE MOCOA   "/>
    <n v="770000"/>
    <n v="0"/>
    <n v="7700"/>
    <s v="PAGO FACTUA FEM 5636 A MAGUARE ESTEREO LTDA NIT 846001061 POR PROGRAMA RADIAL DE 1 HORA EL DIA SABADO 19 DE JULIO DE 2025 DE 11 AM A 12 M "/>
    <s v="ANARVA"/>
    <n v="2025"/>
    <x v="20"/>
    <s v="MAGUARE ESTEREO LTDA   "/>
  </r>
  <r>
    <s v="CO"/>
    <n v="1001587"/>
    <d v="2025-07-24T00:00:00"/>
    <n v="1"/>
    <n v="1"/>
    <n v="999"/>
    <s v="Default"/>
    <m/>
    <m/>
    <n v="24480502"/>
    <s v="Compras"/>
    <n v="800102891"/>
    <s v="ALCALDIA DE MOCOA   "/>
    <n v="6015966"/>
    <n v="0"/>
    <n v="36096"/>
    <s v="PAGO COTIZACION FEM 8477 A EL PUNTO DE LAS TEJAS S.A.S ZOMAC NIT 901452326 POR COMPRA DE TEJAS Y ELEMETOS DE TECHO PARA LA AGENCIA DE SIBUNDOY. "/>
    <s v="ANARVA"/>
    <n v="2025"/>
    <x v="21"/>
    <s v="EL PUNTO DE LAS TEJAS S.A.S ZOMAC   "/>
  </r>
  <r>
    <s v="CO"/>
    <n v="1001588"/>
    <d v="2025-07-25T00:00:00"/>
    <n v="1"/>
    <n v="1"/>
    <n v="999"/>
    <s v="Default"/>
    <m/>
    <m/>
    <n v="24480501"/>
    <s v="Servicios"/>
    <n v="800102891"/>
    <s v="ALCALDIA DE MOCOA   "/>
    <n v="1320000"/>
    <n v="0"/>
    <n v="13200"/>
    <s v="PAGO DOCUMENTO SOPORTE 1DSE1386 A EDINSON IMBACHI BENAVIDES CC 18126542 POR SERVICIO DE IMPRESION DE TALONARIOS DE CAJA, PAGARES Y CONTRATOS CUPO ROTATIVO. "/>
    <s v="ANARVA"/>
    <n v="2025"/>
    <x v="22"/>
    <s v="IMBACHI BENAVIDES EDINSON "/>
  </r>
  <r>
    <s v="CO"/>
    <n v="1001591"/>
    <d v="2025-07-25T00:00:00"/>
    <n v="1"/>
    <n v="1"/>
    <n v="999"/>
    <s v="Default"/>
    <m/>
    <m/>
    <n v="24480501"/>
    <s v="Servicios"/>
    <n v="800102891"/>
    <s v="ALCALDIA DE MOCOA   "/>
    <n v="6594803"/>
    <n v="0"/>
    <n v="65948"/>
    <s v="PAGO FACTURA FVD-21 A URQUIJO CHAVEZ DUCARDO JEMBER CC 18145427 POR SERVICIO CE REVISORIA FISCAL MES DE JULIO 2025 "/>
    <s v="ANARVA"/>
    <n v="2025"/>
    <x v="2"/>
    <s v="URQUIJO CHAVEZ DUCARDO JEMBER"/>
  </r>
  <r>
    <s v="CO"/>
    <n v="1001589"/>
    <d v="2025-07-25T00:00:00"/>
    <n v="1"/>
    <n v="1"/>
    <n v="999"/>
    <s v="Default"/>
    <m/>
    <m/>
    <n v="24480501"/>
    <s v="Servicios"/>
    <n v="800102891"/>
    <s v="ALCALDIA DE MOCOA   "/>
    <n v="225000"/>
    <n v="0"/>
    <n v="2250"/>
    <s v="Contabilización pago a Omar Armando Pantoja cc 87101363 por  transporte tejas para agencia Sibundoy $225.000 "/>
    <s v="ANVER"/>
    <n v="2025"/>
    <x v="23"/>
    <s v="PANTOJA RAMIREZ OMAR ARMANDO"/>
  </r>
  <r>
    <s v="CO"/>
    <n v="1001595"/>
    <d v="2025-07-28T00:00:00"/>
    <n v="1"/>
    <n v="1"/>
    <n v="999"/>
    <s v="Default"/>
    <m/>
    <m/>
    <n v="24480502"/>
    <s v="Compras"/>
    <n v="800102891"/>
    <s v="ALCALDIA DE MOCOA   "/>
    <n v="1294819"/>
    <n v="0"/>
    <n v="7768"/>
    <s v="CONTABILIZACION LEGALIZACION  ANTICIPO PARA COMPRA DE ELEMENTOS PARA PINTAR PARTE INTERIOR DE LA COOPERATIVA EN MOCOA "/>
    <s v="IVAROM"/>
    <n v="2025"/>
    <x v="24"/>
    <s v="SISCONT LTDA   "/>
  </r>
  <r>
    <s v="CO"/>
    <n v="1001613"/>
    <d v="2025-07-30T00:00:00"/>
    <n v="1"/>
    <n v="1"/>
    <n v="999"/>
    <s v="Default"/>
    <m/>
    <m/>
    <n v="24480501"/>
    <s v="Servicios"/>
    <n v="800102891"/>
    <s v="ALCALDIA DE MOCOA   "/>
    <n v="1010000"/>
    <n v="0"/>
    <n v="10100"/>
    <s v="PAGO A YULY FERNANDA CHAVEZ CC 1010081868 POR SERVICIO DE HABLADORES EN PROPALCOTE E IMPRESION ADHESIVOS COOTEP EXPREX "/>
    <s v="HPARRA"/>
    <n v="2025"/>
    <x v="4"/>
    <s v="CHAVES ACOSTA YULY FERNANDA"/>
  </r>
  <r>
    <s v="NA"/>
    <n v="1003216"/>
    <d v="2025-07-30T00:00:00"/>
    <n v="1"/>
    <n v="1"/>
    <n v="999"/>
    <s v="Default"/>
    <m/>
    <m/>
    <n v="24480501"/>
    <s v="Servicios"/>
    <n v="800102891"/>
    <s v="ALCALDIA DE MOCOA   "/>
    <n v="2142984"/>
    <n v="0"/>
    <n v="21430"/>
    <s v="Contabilización pago servicio de monitoreo o alarmas Cootep fra FE-714 a Nelson Zambrano por $2.180.000 "/>
    <s v="ANVER"/>
    <n v="2025"/>
    <x v="6"/>
    <s v="ZAMBRANO DUARTE NELSON FABIO"/>
  </r>
  <r>
    <s v="CO"/>
    <n v="1001785"/>
    <d v="2025-08-12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-1846 A HYDRA SOLUCIONES EMPRESARIALES NIT 900437268 POR SERVICION DE INTERNET COMERIALMES DE AGOSTO AGENCIA MOCOA "/>
    <s v="ANARVA"/>
    <n v="2025"/>
    <x v="0"/>
    <s v="HYDRA SOLUCIONES EMPRESARIALES INGENIERIA SAS   "/>
  </r>
  <r>
    <s v="CO"/>
    <n v="1001776"/>
    <d v="2025-08-12T00:00:00"/>
    <n v="1"/>
    <n v="1"/>
    <n v="999"/>
    <s v="Default"/>
    <m/>
    <m/>
    <n v="24480501"/>
    <s v="Servicios"/>
    <n v="800102891"/>
    <s v="ALCALDIA DE MOCOA   "/>
    <n v="1295000"/>
    <n v="0"/>
    <n v="12950"/>
    <s v="PAGO 1DSE1404 A YULY FERNANDA CHAVEZ ACOSTA CC 1010081868 POR SERVICIO DE ELABORACION DE HABLARORES EN PROPALCOTE Y ELABORACION DE ADHESIVOS "/>
    <s v="ANARVA"/>
    <n v="2025"/>
    <x v="4"/>
    <s v="CHAVES ACOSTA YULY FERNANDA"/>
  </r>
  <r>
    <s v="CO"/>
    <n v="1001836"/>
    <d v="2025-08-15T00:00:00"/>
    <n v="1"/>
    <n v="1"/>
    <n v="999"/>
    <s v="Default"/>
    <m/>
    <m/>
    <n v="24480502"/>
    <s v="Compras"/>
    <n v="800102891"/>
    <s v="ALCALDIA DE MOCOA   "/>
    <n v="580000"/>
    <n v="0"/>
    <n v="3480"/>
    <s v="PAGO SEGUN COTIZACION 0762 A CIELOS RASOS EN PVC JP NIT 1083896745 POR COMPRA DE LAMINAS MARMOLITADASY PEGANTE "/>
    <s v="ANARVA"/>
    <n v="2025"/>
    <x v="25"/>
    <s v="FLOREZ GUZMAN JULIAN "/>
  </r>
  <r>
    <s v="CO"/>
    <n v="1001839"/>
    <d v="2025-08-15T00:00:00"/>
    <n v="1"/>
    <n v="1"/>
    <n v="999"/>
    <s v="Default"/>
    <m/>
    <m/>
    <n v="24480502"/>
    <s v="Compras"/>
    <n v="800102891"/>
    <s v="ALCALDIA DE MOCOA   "/>
    <n v="793000"/>
    <n v="0"/>
    <n v="4758"/>
    <s v="REINTEGRO A LUISA FERNANDA CUERO CC 1124855204 POR COMPRA DE ARTESANIAS DE CHAQUIRAS PARA DAR COMO OBSEQUIO "/>
    <s v="ANARVA"/>
    <n v="2025"/>
    <x v="18"/>
    <s v="ERAZO ACOSTA LUIS ALEJANDRO"/>
  </r>
  <r>
    <s v="CO"/>
    <n v="1001846"/>
    <d v="2025-08-19T00:00:00"/>
    <n v="1"/>
    <n v="1"/>
    <n v="999"/>
    <s v="Default"/>
    <m/>
    <m/>
    <n v="24480501"/>
    <s v="Servicios"/>
    <n v="800102891"/>
    <s v="ALCALDIA DE MOCOA   "/>
    <n v="2200000"/>
    <n v="0"/>
    <n v="22000"/>
    <s v="PAGO A JAIME PORTILLA CERON CC 18130206 POR SERVICIO DE MANO DE OBRA EN PINTAR LAS INSTALACIONES DE COOTEP MOCOA Y ARREGLOS DE FILTRACION DE AGUA "/>
    <s v="HPARRA"/>
    <n v="2025"/>
    <x v="26"/>
    <s v="PORTILLA CERON JAIME "/>
  </r>
  <r>
    <s v="CO"/>
    <n v="1001865"/>
    <d v="2025-08-21T00:00:00"/>
    <n v="1"/>
    <n v="1"/>
    <n v="999"/>
    <s v="Default"/>
    <m/>
    <m/>
    <n v="24480501"/>
    <s v="Servicios"/>
    <n v="800102891"/>
    <s v="ALCALDIA DE MOCOA   "/>
    <n v="850000"/>
    <n v="0"/>
    <n v="8500"/>
    <s v="PAGO A YULY FERNANDA CHAVEZ ACOSTA CC 1010081868 POR SERVICIO DE ELEABORACION PORTAFOLIO DE SERVICIOS EN PAPEL BOND NATURAL POR VALOR DE 850.000  "/>
    <s v="HPARRA"/>
    <n v="2025"/>
    <x v="4"/>
    <s v="CHAVES ACOSTA YULY FERNANDA"/>
  </r>
  <r>
    <s v="CO"/>
    <n v="1001884"/>
    <d v="2025-08-25T00:00:00"/>
    <n v="1"/>
    <n v="1"/>
    <n v="999"/>
    <s v="Default"/>
    <m/>
    <m/>
    <n v="24480501"/>
    <s v="Servicios"/>
    <n v="800102891"/>
    <s v="ALCALDIA DE MOCOA   "/>
    <n v="920000"/>
    <n v="0"/>
    <n v="9200"/>
    <s v="PAGO A SANDRA VALLEJO CC 69009268 POR SERVICIO DE ENTREGA CARTAS EN AGENCIAS, SIBUNDOY, VILLA GARZON, PTO ASIS, PTO LEGUIZAMO, ORITO, HOMIGA, Y DORADA "/>
    <s v="HPARRA"/>
    <n v="2025"/>
    <x v="27"/>
    <s v="VALLEJO GARCIA SANDRA PATRICIA"/>
  </r>
  <r>
    <s v="NA"/>
    <n v="1003503"/>
    <d v="2025-08-25T00:00:00"/>
    <n v="1"/>
    <n v="1"/>
    <n v="999"/>
    <s v="Default"/>
    <m/>
    <m/>
    <n v="24480501"/>
    <s v="Servicios"/>
    <n v="800102891"/>
    <s v="ALCALDIA DE MOCOA   "/>
    <n v="2142985"/>
    <n v="0"/>
    <n v="21430"/>
    <s v="PAGO FACTURA FE-726 A NELSON ZAMBRANO Y/O SEGURIDADI NTEL NIT 18127828 POR SERVICIO DE MONOTERO Y ALARMA MES DE AGOSTO 2025 "/>
    <s v="HPARRA"/>
    <n v="2025"/>
    <x v="6"/>
    <s v="ZAMBRANO DUARTE NELSON FABIO"/>
  </r>
  <r>
    <s v="CO"/>
    <n v="1001896"/>
    <d v="2025-08-26T00:00:00"/>
    <n v="1"/>
    <n v="1"/>
    <n v="999"/>
    <s v="Default"/>
    <m/>
    <m/>
    <n v="24480501"/>
    <s v="Servicios"/>
    <n v="800102891"/>
    <s v="ALCALDIA DE MOCOA   "/>
    <n v="6594803"/>
    <n v="0"/>
    <n v="65948"/>
    <s v="PAGO FACTURA FVE22 A DUCARDO JEMBER URQUIJO CC 18145427 COMO SERVICIO DE REVISORIA FISCAL COOTEP MES DE AGOSTO 2025 "/>
    <s v="HPARRA"/>
    <n v="2025"/>
    <x v="2"/>
    <s v="URQUIJO CHAVEZ DUCARDO JEMBER"/>
  </r>
  <r>
    <s v="CO"/>
    <n v="1001915"/>
    <d v="2025-08-29T00:00:00"/>
    <n v="1"/>
    <n v="1"/>
    <n v="999"/>
    <s v="Default"/>
    <m/>
    <m/>
    <n v="24480501"/>
    <s v="Servicios"/>
    <n v="800102891"/>
    <s v="ALCALDIA DE MOCOA   "/>
    <n v="200000"/>
    <n v="0"/>
    <n v="2000"/>
    <s v="CONTABILIZACION LEGALIZACION ANTICIPO CONCURSO DE COMETAS ASOCIADOS COOTEP 2025 "/>
    <s v="IVAROM"/>
    <n v="2025"/>
    <x v="28"/>
    <s v="MUÑOZ CERON GIOVANNY "/>
  </r>
  <r>
    <s v="CO"/>
    <n v="1001950"/>
    <d v="2025-09-02T00:00:00"/>
    <n v="1"/>
    <n v="1"/>
    <n v="999"/>
    <s v="Default"/>
    <m/>
    <m/>
    <n v="24480502"/>
    <s v="Compras"/>
    <n v="800102891"/>
    <s v="ALCALDIA DE MOCOA   "/>
    <n v="1460504"/>
    <n v="0"/>
    <n v="8763"/>
    <s v="PAGO FACTURA FMC1 146 A PAPELERIA LA UNICAY/O ARCILA SOTO ARANDA POR LA COMPRA DE CINTA EPSON, BROCHA FINA, PEGANTE Y DEMAS PRODUCTOS DE PAPELERIA "/>
    <s v="HPARRA"/>
    <n v="2025"/>
    <x v="29"/>
    <s v="SOTO ARANDA ARCILA "/>
  </r>
  <r>
    <s v="CO"/>
    <n v="1001975"/>
    <d v="2025-09-04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1955 A HSE INGENIERIA NIT 900437268 POR SERVICIO DE INTERNET MES DE SEPTIEMBRE AGENCIA DE MOCOA "/>
    <s v="HPARRA"/>
    <n v="2025"/>
    <x v="0"/>
    <s v="HYDRA SOLUCIONES EMPRESARIALES INGENIERIA SAS   "/>
  </r>
  <r>
    <s v="CO"/>
    <n v="1002137"/>
    <d v="2025-09-22T00:00:00"/>
    <n v="1"/>
    <n v="1"/>
    <n v="999"/>
    <s v="Default"/>
    <m/>
    <m/>
    <n v="24480502"/>
    <s v="Compras"/>
    <n v="800102891"/>
    <s v="ALCALDIA DE MOCOA   "/>
    <n v="772000"/>
    <n v="0"/>
    <n v="4632"/>
    <s v="PAGO A YESID BERNARDO ROSERO CC 18127030 POR COMPRA DE DISCOS DUROS DE 2 TERAS PARA AGENCIA SIBUNDOY POR VALOR DE $772.000 "/>
    <s v="HPARRA"/>
    <n v="2025"/>
    <x v="30"/>
    <s v="ROSERO MONCAYO YESID BERNARDO"/>
  </r>
  <r>
    <s v="CO"/>
    <n v="1002176"/>
    <d v="2025-09-29T00:00:00"/>
    <n v="1"/>
    <n v="1"/>
    <n v="999"/>
    <s v="Default"/>
    <m/>
    <m/>
    <n v="24480501"/>
    <s v="Servicios"/>
    <n v="800102891"/>
    <s v="ALCALDIA DE MOCOA   "/>
    <n v="6594803"/>
    <n v="0"/>
    <n v="65948"/>
    <s v="PAGO FACTURA FVD25 A URQUIJO CHAVES DUCARDO CC 18145427 POR SERVICIO DE REVISIORIA FISCAL COOTEP MES DE SEPTIEMBRE 2025 "/>
    <s v="HPARRA"/>
    <n v="2025"/>
    <x v="2"/>
    <s v="URQUIJO CHAVEZ DUCARDO JEMBER"/>
  </r>
  <r>
    <s v="NA"/>
    <n v="1004019"/>
    <d v="2025-09-29T00:00:00"/>
    <n v="1"/>
    <n v="1"/>
    <n v="999"/>
    <s v="Default"/>
    <m/>
    <m/>
    <n v="24480501"/>
    <s v="Servicios"/>
    <n v="800102891"/>
    <s v="ALCALDIA DE MOCOA   "/>
    <n v="2142985"/>
    <n v="0"/>
    <n v="21430"/>
    <s v="PAGO FACTURA FE737 A NELSONFABIO ZAMBRANO CC 18127828 POR PAGO SERVICIO DE MONITOREO DE ALARMAS Y/O CAMARAS EN MOCOA Y AGENCIAS "/>
    <s v="HPARRA"/>
    <n v="2025"/>
    <x v="6"/>
    <s v="ZAMBRANO DUARTE NELSON FABIO"/>
  </r>
  <r>
    <s v="CO"/>
    <n v="1002229"/>
    <d v="2025-10-06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2186 A HSE INGENIERIA NIT 900437268 POR SERVICIO DE INTERNET DEDICADO PLAN COMERCIAL MES DE OCTUBRE 2025 POR VALOR DE 571200 EN LA AGENCIA MOCOA "/>
    <s v="HPARRA"/>
    <n v="2025"/>
    <x v="0"/>
    <s v="HYDRA SOLUCIONES EMPRESARIALES INGENIERIA SAS   "/>
  </r>
  <r>
    <s v="CO"/>
    <n v="1002350"/>
    <d v="2025-10-14T00:00:00"/>
    <n v="1"/>
    <n v="1"/>
    <n v="999"/>
    <s v="Default"/>
    <m/>
    <m/>
    <n v="24480502"/>
    <s v="Compras"/>
    <n v="800102891"/>
    <s v="ALCALDIA DE MOCOA   "/>
    <n v="2800000"/>
    <n v="0"/>
    <n v="16800"/>
    <s v="PAGO A YULY FERNANDA CHAVEZ CC 1010081868 POR COMPRAO DE  DE BOLSAS DE PAPEL ECOLOGICAS 1000 UNIDADES VALOR 2.800.000 "/>
    <s v="HPARRA"/>
    <n v="2025"/>
    <x v="4"/>
    <s v="CHAVES ACOSTA YULY FERNANDA"/>
  </r>
  <r>
    <s v="CO"/>
    <n v="1002388"/>
    <d v="2025-10-22T00:00:00"/>
    <n v="1"/>
    <n v="1"/>
    <n v="999"/>
    <s v="Default"/>
    <m/>
    <m/>
    <n v="24480501"/>
    <s v="Servicios"/>
    <n v="800102891"/>
    <s v="ALCALDIA DE MOCOA   "/>
    <n v="891920"/>
    <n v="0"/>
    <n v="8919"/>
    <s v="LEGALIZACION DE ANTICIPO A DANNY YULIETH TORRES CC 1117550697 PARA DESAROLLO ACTIVIDAD ACTIVIDAD DE BIENESTAR LABORAL SEGUN CONOGRAMA "/>
    <s v="HPARRA"/>
    <n v="2025"/>
    <x v="31"/>
    <s v="NHOMADA RECETAS DEL MUNDO SAS ZOMAC   "/>
  </r>
  <r>
    <s v="CO"/>
    <n v="1002388"/>
    <d v="2025-10-22T00:00:00"/>
    <n v="1"/>
    <n v="1"/>
    <n v="999"/>
    <s v="Default"/>
    <m/>
    <m/>
    <n v="24480501"/>
    <s v="Servicios"/>
    <n v="800102891"/>
    <s v="ALCALDIA DE MOCOA   "/>
    <n v="800000"/>
    <n v="0"/>
    <n v="8000"/>
    <s v="LEGALIZACION DE ANTICIPO A DANNY YULIETH TORRES CC 1117550697 PARA DESAROLLO ACTIVIDAD ACTIVIDAD DE BIENESTAR LABORAL SEGUN CONOGRAMA "/>
    <s v="HPARRA"/>
    <n v="2025"/>
    <x v="32"/>
    <s v="VELASCO LOPEZ GUSTAVO ALFREDO"/>
  </r>
  <r>
    <s v="CO"/>
    <n v="1002399"/>
    <d v="2025-10-23T00:00:00"/>
    <n v="1"/>
    <n v="1"/>
    <n v="999"/>
    <s v="Default"/>
    <m/>
    <m/>
    <n v="24480501"/>
    <s v="Servicios"/>
    <n v="800102891"/>
    <s v="ALCALDIA DE MOCOA   "/>
    <n v="700000"/>
    <n v="0"/>
    <n v="7000"/>
    <s v="PAGO A EDGAR OVIDIO CASTILLO CC 79278081 POR SERVICIO MANTENIMIENTO CERRADURAS MECANICAS E INDUCCION DE CAMBIO DE CLAVES CERRADURAS MECANICAS Y DIGITALES MOCOA, ORITO PTO ASIS "/>
    <s v="HPARRA"/>
    <n v="2025"/>
    <x v="33"/>
    <s v="CASTILLO BALLESTEROS EDGAR OVIDIO"/>
  </r>
  <r>
    <s v="CO"/>
    <n v="1002426"/>
    <d v="2025-10-28T00:00:00"/>
    <n v="1"/>
    <n v="1"/>
    <n v="999"/>
    <s v="Default"/>
    <m/>
    <m/>
    <n v="24480501"/>
    <s v="Servicios"/>
    <n v="800102891"/>
    <s v="ALCALDIA DE MOCOA   "/>
    <n v="6594803"/>
    <n v="0"/>
    <n v="65948"/>
    <s v="PAGO FACTURA FVD29 A DUCARDO JEMBER URQUIJO CC 18145427 POR SERVICIO DE REVISORIAFISCAL COOTEP MES DE OCTUBRE "/>
    <s v="HPARRA"/>
    <n v="2025"/>
    <x v="2"/>
    <s v="URQUIJO CHAVEZ DUCARDO JEMBER"/>
  </r>
  <r>
    <s v="NA"/>
    <n v="1004404"/>
    <d v="2025-10-28T00:00:00"/>
    <n v="1"/>
    <n v="1"/>
    <n v="999"/>
    <s v="Default"/>
    <m/>
    <m/>
    <n v="24480501"/>
    <s v="Servicios"/>
    <n v="800102891"/>
    <s v="ALCALDIA DE MOCOA   "/>
    <n v="2142985"/>
    <n v="0"/>
    <n v="21430"/>
    <s v="PAGO FACTURA FE-745 A NELSON FABIO ZAMBRANO CC 18127828 POR SERVICIO DE MONITOREO DE ALARMAS EN MOCOA Y LAS AGENCIAS "/>
    <s v="HPARRA"/>
    <n v="2025"/>
    <x v="6"/>
    <s v="ZAMBRANO DUARTE NELSON FABIO"/>
  </r>
  <r>
    <s v="CO"/>
    <n v="1002448"/>
    <d v="2025-10-31T00:00:00"/>
    <n v="1"/>
    <n v="1"/>
    <n v="999"/>
    <s v="Default"/>
    <m/>
    <m/>
    <n v="24480501"/>
    <s v="Servicios"/>
    <n v="800102891"/>
    <s v="ALCALDIA DE MOCOA   "/>
    <n v="591025"/>
    <n v="0"/>
    <n v="5910"/>
    <s v="PAGO A MARTHA LUCIA ALVAREZ CC 4860028 POR PAGO REFRIGERIO CAPACITACION SARLAFT A COLABORADORES AGENCIA MOCOA "/>
    <s v="HPARRA"/>
    <n v="2025"/>
    <x v="34"/>
    <s v="ALVAREZ CAYCEDO MARTHA LUCIA"/>
  </r>
  <r>
    <s v="CO"/>
    <n v="1002527"/>
    <d v="2025-11-06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2470 A HSE INGENIERIA NIT 900437268 POR SERVICIO DE INTERNET COMERCIAL EN AGENCIA DE MOCOA POR 571.200 "/>
    <s v="HPARRA"/>
    <n v="2025"/>
    <x v="0"/>
    <s v="HYDRA SOLUCIONES EMPRESARIALES INGENIERIA SAS   "/>
  </r>
  <r>
    <s v="CO"/>
    <n v="1002639"/>
    <d v="2025-11-20T00:00:00"/>
    <n v="1"/>
    <n v="1"/>
    <n v="999"/>
    <s v="Default"/>
    <m/>
    <m/>
    <n v="24480501"/>
    <s v="Servicios"/>
    <n v="800102891"/>
    <s v="ALCALDIA DE MOCOA   "/>
    <n v="1159950"/>
    <n v="0"/>
    <n v="11600"/>
    <s v="CONTABILIZACION ANTICIPO A MILENA PORTILLO PARA ACTIVIDAD DETALLER DE MANUALIDADES COOTEP 2025 AGENCIA MOCOA "/>
    <s v="HPARRA"/>
    <n v="2025"/>
    <x v="35"/>
    <s v="DIAZ MOLINA ARACELY "/>
  </r>
  <r>
    <s v="CO"/>
    <n v="1002639"/>
    <d v="2025-11-20T00:00:00"/>
    <n v="1"/>
    <n v="1"/>
    <n v="999"/>
    <s v="Default"/>
    <m/>
    <m/>
    <n v="24480501"/>
    <s v="Servicios"/>
    <n v="800102891"/>
    <s v="ALCALDIA DE MOCOA   "/>
    <n v="1933250"/>
    <n v="0"/>
    <n v="19333"/>
    <s v="CONTABILIZACION ANTICIPO A MILENA PORTILLO PARA ACTIVIDAD DETALLER DE MANUALIDADES COOTEP 2025 AGENCIA MOCOA "/>
    <s v="HPARRA"/>
    <n v="2025"/>
    <x v="8"/>
    <s v="BERMEO MUSTAFA ALIA SAMADI"/>
  </r>
  <r>
    <s v="NA"/>
    <n v="1004761"/>
    <d v="2025-11-24T00:00:00"/>
    <n v="1"/>
    <n v="1"/>
    <n v="999"/>
    <s v="Default"/>
    <m/>
    <m/>
    <n v="24480501"/>
    <s v="Servicios"/>
    <n v="800102891"/>
    <s v="ALCALDIA DE MOCOA   "/>
    <n v="2142985"/>
    <n v="0"/>
    <n v="21430"/>
    <s v="PAGO FACTURA FE-756 A NELSON ZAMBRANO Y/O SEGURIDAD INTEL NIT 18127828 POR EL SERVICIO DE MONITERIO DE ALAMRAS EN MOCOA Y LAS AGENCIAS "/>
    <s v="HPARRA"/>
    <n v="2025"/>
    <x v="6"/>
    <s v="ZAMBRANO DUARTE NELSON FABIO"/>
  </r>
  <r>
    <s v="CO"/>
    <n v="1002666"/>
    <d v="2025-11-25T00:00:00"/>
    <n v="1"/>
    <n v="1"/>
    <n v="999"/>
    <s v="Default"/>
    <m/>
    <m/>
    <n v="24480501"/>
    <s v="Servicios"/>
    <n v="800102891"/>
    <s v="ALCALDIA DE MOCOA   "/>
    <n v="6594803"/>
    <n v="0"/>
    <n v="65948"/>
    <s v="PAGO FACTURA FVD-32 A URQUIJO CHAVEZ DUCARDO NIT 18145427 POR SERVICIO DE REVISORIA FISCAL MES DE NOVIEMBRE 2025 "/>
    <s v="HPARRA"/>
    <n v="2025"/>
    <x v="2"/>
    <s v="URQUIJO CHAVEZ DUCARDO JEMBER"/>
  </r>
  <r>
    <s v="CO"/>
    <n v="1002674"/>
    <d v="2025-11-26T00:00:00"/>
    <n v="1"/>
    <n v="1"/>
    <n v="999"/>
    <s v="Default"/>
    <m/>
    <m/>
    <n v="24480501"/>
    <s v="Servicios"/>
    <n v="800102891"/>
    <s v="ALCALDIA DE MOCOA   "/>
    <n v="516500"/>
    <n v="0"/>
    <n v="5165"/>
    <s v="LEGALIZACION ANTICIPO A DIANA ACERO CC 69009123 PARA REALIZAR ACTIIVIDAD DE CAPACITACION DIRIGIDA A COLABORADORES COOTEP "/>
    <s v="HPARRA"/>
    <n v="2025"/>
    <x v="36"/>
    <s v="GORDILLO GUZMAN ALIPIO "/>
  </r>
  <r>
    <s v="CO"/>
    <n v="1002787"/>
    <d v="2025-12-09T00:00:00"/>
    <n v="1"/>
    <n v="1"/>
    <n v="999"/>
    <s v="Default"/>
    <m/>
    <m/>
    <n v="24480501"/>
    <s v="Servicios"/>
    <n v="800102891"/>
    <s v="ALCALDIA DE MOCOA   "/>
    <n v="480000"/>
    <n v="0"/>
    <n v="4800"/>
    <s v="PAGO FACTURA HSMC 2740 A HSE INGENIRIA NIT 900437268 POR SERVICIO DE INTERNER PLAN COMERCIAL E IP PUBLICA AGENCIA MOCOA MES DE DICIEMBRE 2025 "/>
    <s v="ANARVA"/>
    <n v="2025"/>
    <x v="0"/>
    <s v="HYDRA SOLUCIONES EMPRESARIALES INGENIERIA SAS   "/>
  </r>
  <r>
    <s v="NA"/>
    <n v="1005108"/>
    <d v="2025-12-12T00:00:00"/>
    <n v="1"/>
    <n v="1"/>
    <n v="999"/>
    <s v="Default"/>
    <m/>
    <m/>
    <n v="24480501"/>
    <s v="Servicios"/>
    <n v="800102891"/>
    <s v="ALCALDIA DE MOCOA   "/>
    <n v="7250000"/>
    <n v="0"/>
    <n v="72500"/>
    <s v="Pago cuentas de cobro de Carlos Pardo cc 5348917 por compra de materiales y servicio prestado en taller de manualidades ag Sibundoy, Mocoa, Puerto Asis y Orito sgn soporte adjunto "/>
    <s v="ANVER"/>
    <n v="2025"/>
    <x v="37"/>
    <s v="PARDO VALENCIA CARLOS HERNANDO"/>
  </r>
  <r>
    <s v="CO"/>
    <n v="1002849"/>
    <d v="2025-12-15T00:00:00"/>
    <n v="1"/>
    <n v="1"/>
    <n v="999"/>
    <s v="Default"/>
    <m/>
    <m/>
    <n v="24480501"/>
    <s v="Servicios"/>
    <n v="800102891"/>
    <s v="ALCALDIA DE MOCOA   "/>
    <n v="5671000"/>
    <n v="0"/>
    <n v="56710"/>
    <s v="Contabilización pago a Sigo 900774181 fra FE 9822  por realización de 53 examenes ocupacionales por valor total de $5.671.000 "/>
    <s v="ANVER"/>
    <n v="2025"/>
    <x v="3"/>
    <s v="SOLUCIONES INTEGRALES EN GESTION OCUPACIONAL   "/>
  </r>
  <r>
    <s v="CO"/>
    <n v="1002873"/>
    <d v="2025-12-16T00:00:00"/>
    <n v="1"/>
    <n v="1"/>
    <n v="999"/>
    <s v="Default"/>
    <m/>
    <m/>
    <n v="24480501"/>
    <s v="Servicios"/>
    <n v="800102891"/>
    <s v="ALCALDIA DE MOCOA   "/>
    <n v="593000"/>
    <n v="0"/>
    <n v="5930"/>
    <s v="PAGO DSE 1555 A JOANA PAZ CC 1124850571 POR PRESTACION DE SERVICIOS POR DECORACION PARA CENA NAVIDEÑA COOTEP MOCOA "/>
    <s v="ANARVA"/>
    <n v="2025"/>
    <x v="38"/>
    <s v="PAZ PANTOJA JOANA CAROLINA"/>
  </r>
  <r>
    <s v="CO"/>
    <n v="1002882"/>
    <d v="2025-12-17T00:00:00"/>
    <n v="1"/>
    <n v="1"/>
    <n v="999"/>
    <s v="Default"/>
    <m/>
    <m/>
    <n v="24480501"/>
    <s v="Servicios"/>
    <n v="800102891"/>
    <s v="ALCALDIA DE MOCOA   "/>
    <n v="4054000"/>
    <n v="0"/>
    <n v="40540"/>
    <s v="PAGO DSO 1560 A MANUEL PAREDES POR PRESTACION DE SERVICIOS DE CENA NAVIDEÑA CON SALON Y DEMAS "/>
    <s v="ANARVA"/>
    <n v="2025"/>
    <x v="39"/>
    <s v="PAREDES LOPEZ MANUEL EDMUNDO"/>
  </r>
  <r>
    <s v="CO"/>
    <n v="1002919"/>
    <d v="2025-12-22T00:00:00"/>
    <n v="1"/>
    <n v="1"/>
    <n v="999"/>
    <s v="Default"/>
    <m/>
    <m/>
    <n v="24480501"/>
    <s v="Servicios"/>
    <n v="800102891"/>
    <s v="ALCALDIA DE MOCOA   "/>
    <n v="6594803"/>
    <n v="0"/>
    <n v="65948"/>
    <s v="PAGO FACTURA FVD-35 A URQUIJO CHAVEZ DUCARDO NIT 18145427 POR SERVICIO DE REVISORIA FISCAL MES DE DICIEMBRE 2025 "/>
    <s v="ANARVA"/>
    <n v="2025"/>
    <x v="2"/>
    <s v="URQUIJO CHAVEZ DUCARDO JEMBER"/>
  </r>
  <r>
    <s v="CO"/>
    <n v="1002951"/>
    <d v="2025-12-26T00:00:00"/>
    <n v="1"/>
    <n v="1"/>
    <n v="999"/>
    <s v="Default"/>
    <m/>
    <m/>
    <n v="24480501"/>
    <s v="Servicios"/>
    <n v="800102891"/>
    <s v="ALCALDIA DE MOCOA   "/>
    <n v="1324000"/>
    <n v="0"/>
    <n v="13240"/>
    <s v="CONTABILIZACION LEGALIZACION ANTICIPO NOVENA NAVIDEÑA 16 DIC 2025 "/>
    <s v="IVAROM"/>
    <n v="2025"/>
    <x v="8"/>
    <s v="BERMEO MUSTAFA ALIA SAMADI"/>
  </r>
  <r>
    <s v="NA"/>
    <n v="1005356"/>
    <d v="2025-12-29T00:00:00"/>
    <n v="1"/>
    <n v="1"/>
    <n v="999"/>
    <s v="Default"/>
    <m/>
    <m/>
    <n v="24480501"/>
    <s v="Servicios"/>
    <n v="800102891"/>
    <s v="ALCALDIA DE MOCOA   "/>
    <n v="2142985"/>
    <n v="0"/>
    <n v="21430"/>
    <s v="PAGO FACTURA FE 770 A NELSON ZAMBRANO CC 18127828 POR SERVOCIO DE MONITOREO DE ALARMAS DE MOCOA Y LAS AGENCIAS DEL 2 DE DIC AL 3 ENE 2026 "/>
    <s v="ANARVA"/>
    <n v="2025"/>
    <x v="6"/>
    <s v="ZAMBRANO DUARTE NELSON FABIO"/>
  </r>
  <r>
    <s v="CO"/>
    <n v="1002975"/>
    <d v="2025-12-30T00:00:00"/>
    <n v="1"/>
    <n v="1"/>
    <n v="999"/>
    <s v="Default"/>
    <m/>
    <m/>
    <n v="24480502"/>
    <s v="Compras"/>
    <n v="800102891"/>
    <s v="ALCALDIA DE MOCOA   "/>
    <n v="3711600"/>
    <n v="0"/>
    <n v="22270"/>
    <s v="PAGO DSE A SHAYD RUANO CC 1006663258 POR COMPRA O SUMINISTRO DE ELEMENTOS Y HERRAMIENTAS DE CABLEADO ESTRUCTURADO-SISTEMAS  "/>
    <s v="ANARVA"/>
    <n v="2025"/>
    <x v="15"/>
    <s v="RUANO RODRIGUEZ SHAYD AUGUSTO"/>
  </r>
  <r>
    <s v="CO"/>
    <n v="1002977"/>
    <d v="2025-12-30T00:00:00"/>
    <n v="1"/>
    <n v="1"/>
    <n v="999"/>
    <s v="Default"/>
    <m/>
    <m/>
    <n v="24480502"/>
    <s v="Compras"/>
    <n v="800102891"/>
    <s v="ALCALDIA DE MOCOA   "/>
    <n v="517000"/>
    <n v="0"/>
    <n v="3102"/>
    <s v="CONTABILIZACION LEGALIZACION ANTICIPO ACTIVIDADES DE FIN DE AÑI COMITE DE SOLIDARIDAD "/>
    <s v="IVAROM"/>
    <n v="2025"/>
    <x v="40"/>
    <s v="DUQUE JIMENEZ MARLLY KATALINA"/>
  </r>
  <r>
    <s v="CO"/>
    <n v="1002977"/>
    <d v="2025-12-30T00:00:00"/>
    <n v="1"/>
    <n v="1"/>
    <n v="999"/>
    <s v="Default"/>
    <m/>
    <m/>
    <n v="24480502"/>
    <s v="Compras"/>
    <n v="800102891"/>
    <s v="ALCALDIA DE MOCOA   "/>
    <n v="696000"/>
    <n v="0"/>
    <n v="4176"/>
    <s v="CONTABILIZACION LEGALIZACION ANTICIPO ACTIVIDADES DE FIN DE AÑI COMITE DE SOLIDARIDAD "/>
    <s v="IVAROM"/>
    <n v="2025"/>
    <x v="41"/>
    <s v="REINOSO CASTILLO WILLYE JAVIER"/>
  </r>
  <r>
    <s v="CO"/>
    <n v="1002977"/>
    <d v="2025-12-30T00:00:00"/>
    <n v="1"/>
    <n v="1"/>
    <n v="999"/>
    <s v="Default"/>
    <m/>
    <m/>
    <n v="24480502"/>
    <s v="Compras"/>
    <n v="800102891"/>
    <s v="ALCALDIA DE MOCOA   "/>
    <n v="1820350"/>
    <n v="0"/>
    <n v="10922"/>
    <s v="CONTABILIZACION LEGALIZACION ANTICIPO ACTIVIDADES DE FIN DE AÑI COMITE DE SOLIDARIDAD "/>
    <s v="IVAROM"/>
    <n v="2025"/>
    <x v="42"/>
    <s v="ROSERO ROSERO HUMBERTO JUVENCI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CCE12-AF85-44F9-A5CE-441C7DE13F54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7" firstHeaderRow="1" firstDataRow="1" firstDataCol="1"/>
  <pivotFields count="2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dataField="1" numFmtId="43" showAll="0"/>
    <pivotField showAll="0"/>
    <pivotField showAll="0"/>
    <pivotField showAll="0"/>
    <pivotField axis="axisRow" showAll="0">
      <items count="44">
        <item x="37"/>
        <item x="11"/>
        <item x="41"/>
        <item x="18"/>
        <item x="36"/>
        <item x="10"/>
        <item x="22"/>
        <item x="30"/>
        <item x="28"/>
        <item x="6"/>
        <item x="26"/>
        <item x="2"/>
        <item x="29"/>
        <item x="13"/>
        <item x="35"/>
        <item x="34"/>
        <item x="40"/>
        <item x="27"/>
        <item x="33"/>
        <item x="17"/>
        <item x="23"/>
        <item x="42"/>
        <item x="9"/>
        <item x="12"/>
        <item x="24"/>
        <item x="1"/>
        <item x="20"/>
        <item x="0"/>
        <item x="3"/>
        <item x="31"/>
        <item x="21"/>
        <item x="15"/>
        <item x="4"/>
        <item x="25"/>
        <item x="14"/>
        <item x="39"/>
        <item x="32"/>
        <item x="5"/>
        <item x="38"/>
        <item x="19"/>
        <item x="7"/>
        <item x="16"/>
        <item x="8"/>
        <item t="default"/>
      </items>
    </pivotField>
    <pivotField showAll="0"/>
  </pivotFields>
  <rowFields count="1">
    <field x="19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a de CREDITOS" fld="1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5EE2-202C-452A-BC22-40411560EF4B}">
  <dimension ref="A1:U541"/>
  <sheetViews>
    <sheetView workbookViewId="0">
      <selection activeCell="G6" sqref="G6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6000001</v>
      </c>
      <c r="C2" s="1">
        <v>45665</v>
      </c>
      <c r="D2">
        <v>6</v>
      </c>
      <c r="E2">
        <v>6</v>
      </c>
      <c r="F2">
        <v>999</v>
      </c>
      <c r="G2" t="s">
        <v>22</v>
      </c>
      <c r="J2">
        <v>24480512</v>
      </c>
      <c r="K2" t="s">
        <v>123</v>
      </c>
      <c r="L2">
        <v>891200513</v>
      </c>
      <c r="M2" t="s">
        <v>124</v>
      </c>
      <c r="N2">
        <v>1350000</v>
      </c>
      <c r="O2">
        <v>0</v>
      </c>
      <c r="P2">
        <v>6750</v>
      </c>
      <c r="Q2" t="s">
        <v>438</v>
      </c>
      <c r="R2" t="s">
        <v>240</v>
      </c>
      <c r="S2">
        <v>2025</v>
      </c>
      <c r="T2">
        <v>26636874</v>
      </c>
      <c r="U2" t="s">
        <v>127</v>
      </c>
    </row>
    <row r="3" spans="1:21" x14ac:dyDescent="0.25">
      <c r="A3" t="s">
        <v>21</v>
      </c>
      <c r="B3">
        <v>3000007</v>
      </c>
      <c r="C3" s="1">
        <v>45665</v>
      </c>
      <c r="D3">
        <v>3</v>
      </c>
      <c r="E3">
        <v>3</v>
      </c>
      <c r="F3">
        <v>999</v>
      </c>
      <c r="G3" t="s">
        <v>22</v>
      </c>
      <c r="J3">
        <v>24480505</v>
      </c>
      <c r="K3" t="s">
        <v>82</v>
      </c>
      <c r="L3">
        <v>891200461</v>
      </c>
      <c r="M3" t="s">
        <v>29</v>
      </c>
      <c r="N3">
        <v>97142.86</v>
      </c>
      <c r="O3">
        <v>0</v>
      </c>
      <c r="P3">
        <v>680</v>
      </c>
      <c r="Q3" t="s">
        <v>569</v>
      </c>
      <c r="R3" t="s">
        <v>440</v>
      </c>
      <c r="S3">
        <v>2025</v>
      </c>
      <c r="T3">
        <v>14839233</v>
      </c>
      <c r="U3" t="s">
        <v>570</v>
      </c>
    </row>
    <row r="4" spans="1:21" x14ac:dyDescent="0.25">
      <c r="A4" t="s">
        <v>21</v>
      </c>
      <c r="B4">
        <v>1000029</v>
      </c>
      <c r="C4" s="1">
        <v>45666</v>
      </c>
      <c r="D4">
        <v>1</v>
      </c>
      <c r="E4">
        <v>2</v>
      </c>
      <c r="F4">
        <v>999</v>
      </c>
      <c r="G4" t="s">
        <v>22</v>
      </c>
      <c r="J4">
        <v>24480518</v>
      </c>
      <c r="K4" t="s">
        <v>75</v>
      </c>
      <c r="L4">
        <v>891201645</v>
      </c>
      <c r="M4" t="s">
        <v>47</v>
      </c>
      <c r="N4">
        <v>270000</v>
      </c>
      <c r="O4">
        <v>0</v>
      </c>
      <c r="P4">
        <v>2700</v>
      </c>
      <c r="Q4" t="s">
        <v>155</v>
      </c>
      <c r="R4" t="s">
        <v>38</v>
      </c>
      <c r="S4">
        <v>2025</v>
      </c>
      <c r="T4">
        <v>900437268</v>
      </c>
      <c r="U4" t="s">
        <v>39</v>
      </c>
    </row>
    <row r="5" spans="1:21" x14ac:dyDescent="0.25">
      <c r="A5" t="s">
        <v>21</v>
      </c>
      <c r="B5">
        <v>1000025</v>
      </c>
      <c r="C5" s="1">
        <v>45666</v>
      </c>
      <c r="D5">
        <v>1</v>
      </c>
      <c r="E5">
        <v>4</v>
      </c>
      <c r="F5">
        <v>999</v>
      </c>
      <c r="G5" t="s">
        <v>22</v>
      </c>
      <c r="J5">
        <v>24480510</v>
      </c>
      <c r="K5" t="s">
        <v>66</v>
      </c>
      <c r="L5">
        <v>800102912</v>
      </c>
      <c r="M5" t="s">
        <v>57</v>
      </c>
      <c r="N5">
        <v>380000</v>
      </c>
      <c r="O5">
        <v>0</v>
      </c>
      <c r="P5">
        <v>2660</v>
      </c>
      <c r="Q5" t="s">
        <v>255</v>
      </c>
      <c r="R5" t="s">
        <v>38</v>
      </c>
      <c r="S5">
        <v>2025</v>
      </c>
      <c r="T5">
        <v>900502634</v>
      </c>
      <c r="U5" t="s">
        <v>55</v>
      </c>
    </row>
    <row r="6" spans="1:21" x14ac:dyDescent="0.25">
      <c r="A6" t="s">
        <v>21</v>
      </c>
      <c r="B6">
        <v>1000026</v>
      </c>
      <c r="C6" s="1">
        <v>45666</v>
      </c>
      <c r="D6">
        <v>1</v>
      </c>
      <c r="E6">
        <v>7</v>
      </c>
      <c r="F6">
        <v>999</v>
      </c>
      <c r="G6" t="s">
        <v>22</v>
      </c>
      <c r="J6">
        <v>24480515</v>
      </c>
      <c r="K6" t="s">
        <v>52</v>
      </c>
      <c r="L6">
        <v>800252922</v>
      </c>
      <c r="M6" t="s">
        <v>53</v>
      </c>
      <c r="N6">
        <v>380000</v>
      </c>
      <c r="O6">
        <v>0</v>
      </c>
      <c r="P6">
        <v>3040</v>
      </c>
      <c r="Q6" t="s">
        <v>377</v>
      </c>
      <c r="R6" t="s">
        <v>38</v>
      </c>
      <c r="S6">
        <v>2025</v>
      </c>
      <c r="T6">
        <v>900502634</v>
      </c>
      <c r="U6" t="s">
        <v>55</v>
      </c>
    </row>
    <row r="7" spans="1:21" x14ac:dyDescent="0.25">
      <c r="A7" t="s">
        <v>21</v>
      </c>
      <c r="B7">
        <v>1000024</v>
      </c>
      <c r="C7" s="1">
        <v>45666</v>
      </c>
      <c r="D7">
        <v>1</v>
      </c>
      <c r="E7">
        <v>3</v>
      </c>
      <c r="F7">
        <v>999</v>
      </c>
      <c r="G7" t="s">
        <v>22</v>
      </c>
      <c r="J7">
        <v>24480506</v>
      </c>
      <c r="K7" t="s">
        <v>28</v>
      </c>
      <c r="L7">
        <v>891200461</v>
      </c>
      <c r="M7" t="s">
        <v>29</v>
      </c>
      <c r="N7">
        <v>295210</v>
      </c>
      <c r="O7">
        <v>0</v>
      </c>
      <c r="P7">
        <v>2952</v>
      </c>
      <c r="Q7" t="s">
        <v>389</v>
      </c>
      <c r="R7" t="s">
        <v>38</v>
      </c>
      <c r="S7">
        <v>2025</v>
      </c>
      <c r="T7">
        <v>900593821</v>
      </c>
      <c r="U7" t="s">
        <v>390</v>
      </c>
    </row>
    <row r="8" spans="1:21" x14ac:dyDescent="0.25">
      <c r="A8" t="s">
        <v>93</v>
      </c>
      <c r="B8">
        <v>4000034</v>
      </c>
      <c r="C8" s="1">
        <v>45666</v>
      </c>
      <c r="D8">
        <v>4</v>
      </c>
      <c r="E8">
        <v>4</v>
      </c>
      <c r="F8">
        <v>999</v>
      </c>
      <c r="G8" t="s">
        <v>22</v>
      </c>
      <c r="J8">
        <v>24480510</v>
      </c>
      <c r="K8" t="s">
        <v>66</v>
      </c>
      <c r="L8">
        <v>800102912</v>
      </c>
      <c r="M8" t="s">
        <v>57</v>
      </c>
      <c r="N8">
        <v>300000</v>
      </c>
      <c r="O8">
        <v>0</v>
      </c>
      <c r="P8">
        <v>1800</v>
      </c>
      <c r="Q8" t="s">
        <v>470</v>
      </c>
      <c r="R8" t="s">
        <v>59</v>
      </c>
      <c r="S8">
        <v>2025</v>
      </c>
      <c r="T8">
        <v>18153926</v>
      </c>
      <c r="U8" t="s">
        <v>104</v>
      </c>
    </row>
    <row r="9" spans="1:21" x14ac:dyDescent="0.25">
      <c r="A9" t="s">
        <v>21</v>
      </c>
      <c r="B9">
        <v>1000030</v>
      </c>
      <c r="C9" s="1">
        <v>45666</v>
      </c>
      <c r="D9">
        <v>1</v>
      </c>
      <c r="E9">
        <v>1</v>
      </c>
      <c r="F9">
        <v>999</v>
      </c>
      <c r="G9" t="s">
        <v>22</v>
      </c>
      <c r="J9">
        <v>24480501</v>
      </c>
      <c r="K9" t="s">
        <v>35</v>
      </c>
      <c r="L9">
        <v>800102891</v>
      </c>
      <c r="M9" t="s">
        <v>36</v>
      </c>
      <c r="N9">
        <v>480000</v>
      </c>
      <c r="O9">
        <v>0</v>
      </c>
      <c r="P9">
        <v>4800</v>
      </c>
      <c r="Q9" t="s">
        <v>639</v>
      </c>
      <c r="R9" t="s">
        <v>38</v>
      </c>
      <c r="S9">
        <v>2025</v>
      </c>
      <c r="T9">
        <v>900437268</v>
      </c>
      <c r="U9" t="s">
        <v>39</v>
      </c>
    </row>
    <row r="10" spans="1:21" x14ac:dyDescent="0.25">
      <c r="A10" t="s">
        <v>21</v>
      </c>
      <c r="B10">
        <v>2000003</v>
      </c>
      <c r="C10" s="1">
        <v>45667</v>
      </c>
      <c r="D10">
        <v>2</v>
      </c>
      <c r="E10">
        <v>2</v>
      </c>
      <c r="F10">
        <v>999</v>
      </c>
      <c r="G10" t="s">
        <v>22</v>
      </c>
      <c r="J10">
        <v>24480518</v>
      </c>
      <c r="K10" t="s">
        <v>75</v>
      </c>
      <c r="L10">
        <v>891201645</v>
      </c>
      <c r="M10" t="s">
        <v>47</v>
      </c>
      <c r="N10">
        <v>155000</v>
      </c>
      <c r="O10">
        <v>0</v>
      </c>
      <c r="P10">
        <v>1550</v>
      </c>
      <c r="Q10" t="s">
        <v>626</v>
      </c>
      <c r="R10" t="s">
        <v>49</v>
      </c>
      <c r="S10">
        <v>2025</v>
      </c>
      <c r="T10">
        <v>900219717</v>
      </c>
      <c r="U10" t="s">
        <v>254</v>
      </c>
    </row>
    <row r="11" spans="1:21" x14ac:dyDescent="0.25">
      <c r="A11" t="s">
        <v>21</v>
      </c>
      <c r="B11">
        <v>3000013</v>
      </c>
      <c r="C11" s="1">
        <v>45670</v>
      </c>
      <c r="D11">
        <v>3</v>
      </c>
      <c r="E11">
        <v>3</v>
      </c>
      <c r="F11">
        <v>999</v>
      </c>
      <c r="G11" t="s">
        <v>22</v>
      </c>
      <c r="J11">
        <v>24480506</v>
      </c>
      <c r="K11" t="s">
        <v>28</v>
      </c>
      <c r="L11">
        <v>891200461</v>
      </c>
      <c r="M11" t="s">
        <v>29</v>
      </c>
      <c r="N11">
        <v>280000</v>
      </c>
      <c r="O11">
        <v>0</v>
      </c>
      <c r="P11">
        <v>2240</v>
      </c>
      <c r="Q11" t="s">
        <v>516</v>
      </c>
      <c r="R11" t="s">
        <v>440</v>
      </c>
      <c r="S11">
        <v>2025</v>
      </c>
      <c r="T11">
        <v>846002782</v>
      </c>
      <c r="U11" t="s">
        <v>441</v>
      </c>
    </row>
    <row r="12" spans="1:21" x14ac:dyDescent="0.25">
      <c r="A12" t="s">
        <v>21</v>
      </c>
      <c r="B12">
        <v>1000061</v>
      </c>
      <c r="C12" s="1">
        <v>45672</v>
      </c>
      <c r="D12">
        <v>1</v>
      </c>
      <c r="E12">
        <v>3</v>
      </c>
      <c r="F12">
        <v>999</v>
      </c>
      <c r="G12" t="s">
        <v>22</v>
      </c>
      <c r="J12">
        <v>24480506</v>
      </c>
      <c r="K12" t="s">
        <v>28</v>
      </c>
      <c r="L12">
        <v>891200461</v>
      </c>
      <c r="M12" t="s">
        <v>29</v>
      </c>
      <c r="N12">
        <v>0</v>
      </c>
      <c r="O12">
        <v>20628</v>
      </c>
      <c r="P12">
        <v>0</v>
      </c>
      <c r="Q12" t="s">
        <v>119</v>
      </c>
      <c r="R12" t="s">
        <v>38</v>
      </c>
      <c r="S12">
        <v>2025</v>
      </c>
      <c r="T12">
        <v>891200461</v>
      </c>
      <c r="U12" t="s">
        <v>29</v>
      </c>
    </row>
    <row r="13" spans="1:21" x14ac:dyDescent="0.25">
      <c r="A13" t="s">
        <v>21</v>
      </c>
      <c r="B13">
        <v>1000065</v>
      </c>
      <c r="C13" s="1">
        <v>45672</v>
      </c>
      <c r="D13">
        <v>1</v>
      </c>
      <c r="E13">
        <v>7</v>
      </c>
      <c r="F13">
        <v>999</v>
      </c>
      <c r="G13" t="s">
        <v>22</v>
      </c>
      <c r="J13">
        <v>24480516</v>
      </c>
      <c r="K13" t="s">
        <v>79</v>
      </c>
      <c r="L13">
        <v>800252922</v>
      </c>
      <c r="M13" t="s">
        <v>53</v>
      </c>
      <c r="N13">
        <v>0</v>
      </c>
      <c r="O13">
        <v>56051</v>
      </c>
      <c r="P13">
        <v>0</v>
      </c>
      <c r="Q13" t="s">
        <v>190</v>
      </c>
      <c r="R13" t="s">
        <v>38</v>
      </c>
      <c r="S13">
        <v>2025</v>
      </c>
      <c r="T13">
        <v>800252922</v>
      </c>
      <c r="U13" t="s">
        <v>53</v>
      </c>
    </row>
    <row r="14" spans="1:21" x14ac:dyDescent="0.25">
      <c r="A14" t="s">
        <v>21</v>
      </c>
      <c r="B14">
        <v>1000063</v>
      </c>
      <c r="C14" s="1">
        <v>45672</v>
      </c>
      <c r="D14">
        <v>1</v>
      </c>
      <c r="E14">
        <v>5</v>
      </c>
      <c r="F14">
        <v>999</v>
      </c>
      <c r="G14" t="s">
        <v>22</v>
      </c>
      <c r="J14">
        <v>24480507</v>
      </c>
      <c r="K14" t="s">
        <v>219</v>
      </c>
      <c r="L14">
        <v>800102896</v>
      </c>
      <c r="M14" t="s">
        <v>24</v>
      </c>
      <c r="N14">
        <v>0</v>
      </c>
      <c r="O14">
        <v>65347</v>
      </c>
      <c r="P14">
        <v>0</v>
      </c>
      <c r="Q14" t="s">
        <v>257</v>
      </c>
      <c r="R14" t="s">
        <v>38</v>
      </c>
      <c r="S14">
        <v>2025</v>
      </c>
      <c r="T14">
        <v>800102896</v>
      </c>
      <c r="U14" t="s">
        <v>24</v>
      </c>
    </row>
    <row r="15" spans="1:21" x14ac:dyDescent="0.25">
      <c r="A15" t="s">
        <v>21</v>
      </c>
      <c r="B15">
        <v>1000066</v>
      </c>
      <c r="C15" s="1">
        <v>45672</v>
      </c>
      <c r="D15">
        <v>1</v>
      </c>
      <c r="E15">
        <v>8</v>
      </c>
      <c r="F15">
        <v>999</v>
      </c>
      <c r="G15" t="s">
        <v>22</v>
      </c>
      <c r="J15">
        <v>24480520</v>
      </c>
      <c r="K15" t="s">
        <v>258</v>
      </c>
      <c r="L15">
        <v>800054249</v>
      </c>
      <c r="M15" t="s">
        <v>33</v>
      </c>
      <c r="N15">
        <v>0</v>
      </c>
      <c r="O15">
        <v>15882</v>
      </c>
      <c r="P15">
        <v>0</v>
      </c>
      <c r="Q15" t="s">
        <v>259</v>
      </c>
      <c r="R15" t="s">
        <v>38</v>
      </c>
      <c r="S15">
        <v>2025</v>
      </c>
      <c r="T15">
        <v>800054249</v>
      </c>
      <c r="U15" t="s">
        <v>33</v>
      </c>
    </row>
    <row r="16" spans="1:21" x14ac:dyDescent="0.25">
      <c r="A16" t="s">
        <v>21</v>
      </c>
      <c r="B16">
        <v>1000064</v>
      </c>
      <c r="C16" s="1">
        <v>45672</v>
      </c>
      <c r="D16">
        <v>1</v>
      </c>
      <c r="E16">
        <v>6</v>
      </c>
      <c r="F16">
        <v>999</v>
      </c>
      <c r="G16" t="s">
        <v>22</v>
      </c>
      <c r="J16">
        <v>24480512</v>
      </c>
      <c r="K16" t="s">
        <v>123</v>
      </c>
      <c r="L16">
        <v>891200513</v>
      </c>
      <c r="M16" t="s">
        <v>124</v>
      </c>
      <c r="N16">
        <v>0</v>
      </c>
      <c r="O16">
        <v>3375</v>
      </c>
      <c r="P16">
        <v>0</v>
      </c>
      <c r="Q16" t="s">
        <v>269</v>
      </c>
      <c r="R16" t="s">
        <v>38</v>
      </c>
      <c r="S16">
        <v>2025</v>
      </c>
      <c r="T16">
        <v>891200513</v>
      </c>
      <c r="U16" t="s">
        <v>124</v>
      </c>
    </row>
    <row r="17" spans="1:21" x14ac:dyDescent="0.25">
      <c r="A17" t="s">
        <v>21</v>
      </c>
      <c r="B17">
        <v>1000060</v>
      </c>
      <c r="C17" s="1">
        <v>45672</v>
      </c>
      <c r="D17">
        <v>1</v>
      </c>
      <c r="E17">
        <v>2</v>
      </c>
      <c r="F17">
        <v>999</v>
      </c>
      <c r="G17" t="s">
        <v>22</v>
      </c>
      <c r="J17">
        <v>24480517</v>
      </c>
      <c r="K17" t="s">
        <v>46</v>
      </c>
      <c r="L17">
        <v>891201645</v>
      </c>
      <c r="M17" t="s">
        <v>47</v>
      </c>
      <c r="N17">
        <v>0</v>
      </c>
      <c r="O17">
        <v>46400</v>
      </c>
      <c r="P17">
        <v>0</v>
      </c>
      <c r="Q17" t="s">
        <v>282</v>
      </c>
      <c r="R17" t="s">
        <v>38</v>
      </c>
      <c r="S17">
        <v>2025</v>
      </c>
      <c r="T17">
        <v>891201645</v>
      </c>
      <c r="U17" t="s">
        <v>47</v>
      </c>
    </row>
    <row r="18" spans="1:21" x14ac:dyDescent="0.25">
      <c r="A18" t="s">
        <v>21</v>
      </c>
      <c r="B18">
        <v>1000062</v>
      </c>
      <c r="C18" s="1">
        <v>45672</v>
      </c>
      <c r="D18">
        <v>1</v>
      </c>
      <c r="E18">
        <v>4</v>
      </c>
      <c r="F18">
        <v>999</v>
      </c>
      <c r="G18" t="s">
        <v>22</v>
      </c>
      <c r="J18">
        <v>24480509</v>
      </c>
      <c r="K18" t="s">
        <v>56</v>
      </c>
      <c r="L18">
        <v>800102912</v>
      </c>
      <c r="M18" t="s">
        <v>57</v>
      </c>
      <c r="N18">
        <v>0</v>
      </c>
      <c r="O18">
        <v>23122</v>
      </c>
      <c r="P18">
        <v>0</v>
      </c>
      <c r="Q18" t="s">
        <v>283</v>
      </c>
      <c r="R18" t="s">
        <v>38</v>
      </c>
      <c r="S18">
        <v>2025</v>
      </c>
      <c r="T18">
        <v>800102912</v>
      </c>
      <c r="U18" t="s">
        <v>57</v>
      </c>
    </row>
    <row r="19" spans="1:21" x14ac:dyDescent="0.25">
      <c r="A19" t="s">
        <v>21</v>
      </c>
      <c r="B19">
        <v>1000065</v>
      </c>
      <c r="C19" s="1">
        <v>45672</v>
      </c>
      <c r="D19">
        <v>1</v>
      </c>
      <c r="E19">
        <v>7</v>
      </c>
      <c r="F19">
        <v>999</v>
      </c>
      <c r="G19" t="s">
        <v>22</v>
      </c>
      <c r="J19">
        <v>24480515</v>
      </c>
      <c r="K19" t="s">
        <v>52</v>
      </c>
      <c r="L19">
        <v>800252922</v>
      </c>
      <c r="M19" t="s">
        <v>53</v>
      </c>
      <c r="N19">
        <v>0</v>
      </c>
      <c r="O19">
        <v>43040</v>
      </c>
      <c r="P19">
        <v>0</v>
      </c>
      <c r="Q19" t="s">
        <v>190</v>
      </c>
      <c r="R19" t="s">
        <v>38</v>
      </c>
      <c r="S19">
        <v>2025</v>
      </c>
      <c r="T19">
        <v>800252922</v>
      </c>
      <c r="U19" t="s">
        <v>53</v>
      </c>
    </row>
    <row r="20" spans="1:21" x14ac:dyDescent="0.25">
      <c r="A20" t="s">
        <v>21</v>
      </c>
      <c r="B20">
        <v>1000061</v>
      </c>
      <c r="C20" s="1">
        <v>45672</v>
      </c>
      <c r="D20">
        <v>1</v>
      </c>
      <c r="E20">
        <v>3</v>
      </c>
      <c r="F20">
        <v>999</v>
      </c>
      <c r="G20" t="s">
        <v>22</v>
      </c>
      <c r="J20">
        <v>24480505</v>
      </c>
      <c r="K20" t="s">
        <v>82</v>
      </c>
      <c r="L20">
        <v>891200461</v>
      </c>
      <c r="M20" t="s">
        <v>29</v>
      </c>
      <c r="N20">
        <v>0</v>
      </c>
      <c r="O20">
        <v>58272</v>
      </c>
      <c r="P20">
        <v>0</v>
      </c>
      <c r="Q20" t="s">
        <v>119</v>
      </c>
      <c r="R20" t="s">
        <v>38</v>
      </c>
      <c r="S20">
        <v>2025</v>
      </c>
      <c r="T20">
        <v>891200461</v>
      </c>
      <c r="U20" t="s">
        <v>29</v>
      </c>
    </row>
    <row r="21" spans="1:21" x14ac:dyDescent="0.25">
      <c r="A21" t="s">
        <v>21</v>
      </c>
      <c r="B21">
        <v>1000063</v>
      </c>
      <c r="C21" s="1">
        <v>45672</v>
      </c>
      <c r="D21">
        <v>1</v>
      </c>
      <c r="E21">
        <v>5</v>
      </c>
      <c r="F21">
        <v>999</v>
      </c>
      <c r="G21" t="s">
        <v>22</v>
      </c>
      <c r="J21">
        <v>24480508</v>
      </c>
      <c r="K21" t="s">
        <v>23</v>
      </c>
      <c r="L21">
        <v>800102896</v>
      </c>
      <c r="M21" t="s">
        <v>24</v>
      </c>
      <c r="N21">
        <v>0</v>
      </c>
      <c r="O21">
        <v>39250</v>
      </c>
      <c r="P21">
        <v>0</v>
      </c>
      <c r="Q21" t="s">
        <v>257</v>
      </c>
      <c r="R21" t="s">
        <v>38</v>
      </c>
      <c r="S21">
        <v>2025</v>
      </c>
      <c r="T21">
        <v>800102896</v>
      </c>
      <c r="U21" t="s">
        <v>24</v>
      </c>
    </row>
    <row r="22" spans="1:21" x14ac:dyDescent="0.25">
      <c r="A22" t="s">
        <v>21</v>
      </c>
      <c r="B22">
        <v>1000060</v>
      </c>
      <c r="C22" s="1">
        <v>45672</v>
      </c>
      <c r="D22">
        <v>1</v>
      </c>
      <c r="E22">
        <v>2</v>
      </c>
      <c r="F22">
        <v>999</v>
      </c>
      <c r="G22" t="s">
        <v>22</v>
      </c>
      <c r="J22">
        <v>24480518</v>
      </c>
      <c r="K22" t="s">
        <v>75</v>
      </c>
      <c r="L22">
        <v>891201645</v>
      </c>
      <c r="M22" t="s">
        <v>47</v>
      </c>
      <c r="N22">
        <v>0</v>
      </c>
      <c r="O22">
        <v>14660</v>
      </c>
      <c r="P22">
        <v>0</v>
      </c>
      <c r="Q22" t="s">
        <v>282</v>
      </c>
      <c r="R22" t="s">
        <v>38</v>
      </c>
      <c r="S22">
        <v>2025</v>
      </c>
      <c r="T22">
        <v>891201645</v>
      </c>
      <c r="U22" t="s">
        <v>47</v>
      </c>
    </row>
    <row r="23" spans="1:21" x14ac:dyDescent="0.25">
      <c r="A23" t="s">
        <v>21</v>
      </c>
      <c r="B23">
        <v>1000059</v>
      </c>
      <c r="C23" s="1">
        <v>45672</v>
      </c>
      <c r="D23">
        <v>1</v>
      </c>
      <c r="E23">
        <v>1</v>
      </c>
      <c r="F23">
        <v>999</v>
      </c>
      <c r="G23" t="s">
        <v>22</v>
      </c>
      <c r="J23">
        <v>24480502</v>
      </c>
      <c r="K23" t="s">
        <v>106</v>
      </c>
      <c r="L23">
        <v>800102891</v>
      </c>
      <c r="M23" t="s">
        <v>36</v>
      </c>
      <c r="N23">
        <v>0</v>
      </c>
      <c r="O23">
        <v>21782</v>
      </c>
      <c r="P23">
        <v>0</v>
      </c>
      <c r="Q23" t="s">
        <v>517</v>
      </c>
      <c r="R23" t="s">
        <v>38</v>
      </c>
      <c r="S23">
        <v>2025</v>
      </c>
      <c r="T23">
        <v>800102891</v>
      </c>
      <c r="U23" t="s">
        <v>36</v>
      </c>
    </row>
    <row r="24" spans="1:21" x14ac:dyDescent="0.25">
      <c r="A24" t="s">
        <v>21</v>
      </c>
      <c r="B24">
        <v>1000059</v>
      </c>
      <c r="C24" s="1">
        <v>45672</v>
      </c>
      <c r="D24">
        <v>1</v>
      </c>
      <c r="E24">
        <v>1</v>
      </c>
      <c r="F24">
        <v>999</v>
      </c>
      <c r="G24" t="s">
        <v>22</v>
      </c>
      <c r="J24">
        <v>24480501</v>
      </c>
      <c r="K24" t="s">
        <v>35</v>
      </c>
      <c r="L24">
        <v>800102891</v>
      </c>
      <c r="M24" t="s">
        <v>36</v>
      </c>
      <c r="N24">
        <v>0</v>
      </c>
      <c r="O24">
        <v>354308</v>
      </c>
      <c r="P24">
        <v>0</v>
      </c>
      <c r="Q24" t="s">
        <v>517</v>
      </c>
      <c r="R24" t="s">
        <v>38</v>
      </c>
      <c r="S24">
        <v>2025</v>
      </c>
      <c r="T24">
        <v>800102891</v>
      </c>
      <c r="U24" t="s">
        <v>36</v>
      </c>
    </row>
    <row r="25" spans="1:21" x14ac:dyDescent="0.25">
      <c r="A25" t="s">
        <v>21</v>
      </c>
      <c r="B25">
        <v>1000066</v>
      </c>
      <c r="C25" s="1">
        <v>45672</v>
      </c>
      <c r="D25">
        <v>1</v>
      </c>
      <c r="E25">
        <v>8</v>
      </c>
      <c r="F25">
        <v>999</v>
      </c>
      <c r="G25" t="s">
        <v>22</v>
      </c>
      <c r="J25">
        <v>24480519</v>
      </c>
      <c r="K25" t="s">
        <v>32</v>
      </c>
      <c r="L25">
        <v>800054249</v>
      </c>
      <c r="M25" t="s">
        <v>33</v>
      </c>
      <c r="N25">
        <v>0</v>
      </c>
      <c r="O25">
        <v>51519</v>
      </c>
      <c r="P25">
        <v>0</v>
      </c>
      <c r="Q25" t="s">
        <v>259</v>
      </c>
      <c r="R25" t="s">
        <v>38</v>
      </c>
      <c r="S25">
        <v>2025</v>
      </c>
      <c r="T25">
        <v>800054249</v>
      </c>
      <c r="U25" t="s">
        <v>33</v>
      </c>
    </row>
    <row r="26" spans="1:21" x14ac:dyDescent="0.25">
      <c r="A26" t="s">
        <v>21</v>
      </c>
      <c r="B26">
        <v>1000064</v>
      </c>
      <c r="C26" s="1">
        <v>45672</v>
      </c>
      <c r="D26">
        <v>1</v>
      </c>
      <c r="E26">
        <v>6</v>
      </c>
      <c r="F26">
        <v>999</v>
      </c>
      <c r="G26" t="s">
        <v>22</v>
      </c>
      <c r="J26">
        <v>24480511</v>
      </c>
      <c r="K26" t="s">
        <v>548</v>
      </c>
      <c r="L26">
        <v>891200513</v>
      </c>
      <c r="M26" t="s">
        <v>124</v>
      </c>
      <c r="N26">
        <v>0</v>
      </c>
      <c r="O26">
        <v>22500</v>
      </c>
      <c r="P26">
        <v>0</v>
      </c>
      <c r="Q26" t="s">
        <v>269</v>
      </c>
      <c r="R26" t="s">
        <v>38</v>
      </c>
      <c r="S26">
        <v>2025</v>
      </c>
      <c r="T26">
        <v>891200513</v>
      </c>
      <c r="U26" t="s">
        <v>124</v>
      </c>
    </row>
    <row r="27" spans="1:21" x14ac:dyDescent="0.25">
      <c r="A27" t="s">
        <v>21</v>
      </c>
      <c r="B27">
        <v>1000062</v>
      </c>
      <c r="C27" s="1">
        <v>45672</v>
      </c>
      <c r="D27">
        <v>1</v>
      </c>
      <c r="E27">
        <v>4</v>
      </c>
      <c r="F27">
        <v>999</v>
      </c>
      <c r="G27" t="s">
        <v>22</v>
      </c>
      <c r="J27">
        <v>24480510</v>
      </c>
      <c r="K27" t="s">
        <v>66</v>
      </c>
      <c r="L27">
        <v>800102912</v>
      </c>
      <c r="M27" t="s">
        <v>57</v>
      </c>
      <c r="N27">
        <v>0</v>
      </c>
      <c r="O27">
        <v>39280</v>
      </c>
      <c r="P27">
        <v>0</v>
      </c>
      <c r="Q27" t="s">
        <v>283</v>
      </c>
      <c r="R27" t="s">
        <v>38</v>
      </c>
      <c r="S27">
        <v>2025</v>
      </c>
      <c r="T27">
        <v>800102912</v>
      </c>
      <c r="U27" t="s">
        <v>57</v>
      </c>
    </row>
    <row r="28" spans="1:21" x14ac:dyDescent="0.25">
      <c r="A28" t="s">
        <v>93</v>
      </c>
      <c r="B28">
        <v>1000177</v>
      </c>
      <c r="C28" s="1">
        <v>45674</v>
      </c>
      <c r="D28">
        <v>1</v>
      </c>
      <c r="E28">
        <v>7</v>
      </c>
      <c r="F28">
        <v>999</v>
      </c>
      <c r="G28" t="s">
        <v>22</v>
      </c>
      <c r="J28">
        <v>24480515</v>
      </c>
      <c r="K28" t="s">
        <v>52</v>
      </c>
      <c r="L28">
        <v>800252922</v>
      </c>
      <c r="M28" t="s">
        <v>53</v>
      </c>
      <c r="N28">
        <v>230000</v>
      </c>
      <c r="O28">
        <v>0</v>
      </c>
      <c r="P28">
        <v>1840</v>
      </c>
      <c r="Q28" t="s">
        <v>156</v>
      </c>
      <c r="R28" t="s">
        <v>38</v>
      </c>
      <c r="S28">
        <v>2025</v>
      </c>
      <c r="T28">
        <v>1123317181</v>
      </c>
      <c r="U28" t="s">
        <v>157</v>
      </c>
    </row>
    <row r="29" spans="1:21" x14ac:dyDescent="0.25">
      <c r="A29" t="s">
        <v>93</v>
      </c>
      <c r="B29">
        <v>1000177</v>
      </c>
      <c r="C29" s="1">
        <v>45674</v>
      </c>
      <c r="D29">
        <v>1</v>
      </c>
      <c r="E29">
        <v>4</v>
      </c>
      <c r="F29">
        <v>999</v>
      </c>
      <c r="G29" t="s">
        <v>22</v>
      </c>
      <c r="J29">
        <v>24480510</v>
      </c>
      <c r="K29" t="s">
        <v>66</v>
      </c>
      <c r="L29">
        <v>800102912</v>
      </c>
      <c r="M29" t="s">
        <v>57</v>
      </c>
      <c r="N29">
        <v>220000</v>
      </c>
      <c r="O29">
        <v>0</v>
      </c>
      <c r="P29">
        <v>1320</v>
      </c>
      <c r="Q29" t="s">
        <v>156</v>
      </c>
      <c r="R29" t="s">
        <v>38</v>
      </c>
      <c r="S29">
        <v>2025</v>
      </c>
      <c r="T29">
        <v>1123317181</v>
      </c>
      <c r="U29" t="s">
        <v>157</v>
      </c>
    </row>
    <row r="30" spans="1:21" x14ac:dyDescent="0.25">
      <c r="A30" t="s">
        <v>93</v>
      </c>
      <c r="B30">
        <v>1000177</v>
      </c>
      <c r="C30" s="1">
        <v>45674</v>
      </c>
      <c r="D30">
        <v>1</v>
      </c>
      <c r="E30">
        <v>7</v>
      </c>
      <c r="F30">
        <v>999</v>
      </c>
      <c r="G30" t="s">
        <v>22</v>
      </c>
      <c r="J30">
        <v>24480516</v>
      </c>
      <c r="K30" t="s">
        <v>79</v>
      </c>
      <c r="L30">
        <v>800252922</v>
      </c>
      <c r="M30" t="s">
        <v>53</v>
      </c>
      <c r="N30">
        <v>560000</v>
      </c>
      <c r="O30">
        <v>0</v>
      </c>
      <c r="P30">
        <v>4480</v>
      </c>
      <c r="Q30" t="s">
        <v>156</v>
      </c>
      <c r="R30" t="s">
        <v>38</v>
      </c>
      <c r="S30">
        <v>2025</v>
      </c>
      <c r="T30">
        <v>1123317181</v>
      </c>
      <c r="U30" t="s">
        <v>157</v>
      </c>
    </row>
    <row r="31" spans="1:21" x14ac:dyDescent="0.25">
      <c r="A31" t="s">
        <v>21</v>
      </c>
      <c r="B31">
        <v>1000079</v>
      </c>
      <c r="C31" s="1">
        <v>45674</v>
      </c>
      <c r="D31">
        <v>1</v>
      </c>
      <c r="E31">
        <v>8</v>
      </c>
      <c r="F31">
        <v>999</v>
      </c>
      <c r="G31" t="s">
        <v>22</v>
      </c>
      <c r="J31">
        <v>24480519</v>
      </c>
      <c r="K31" t="s">
        <v>32</v>
      </c>
      <c r="L31">
        <v>800054249</v>
      </c>
      <c r="M31" t="s">
        <v>33</v>
      </c>
      <c r="N31">
        <v>10303706</v>
      </c>
      <c r="O31">
        <v>0</v>
      </c>
      <c r="P31">
        <v>51519</v>
      </c>
      <c r="Q31" t="s">
        <v>662</v>
      </c>
      <c r="R31" t="s">
        <v>38</v>
      </c>
      <c r="S31">
        <v>2025</v>
      </c>
      <c r="T31">
        <v>900579315</v>
      </c>
      <c r="U31" t="s">
        <v>44</v>
      </c>
    </row>
    <row r="32" spans="1:21" x14ac:dyDescent="0.25">
      <c r="A32" t="s">
        <v>21</v>
      </c>
      <c r="B32">
        <v>3000022</v>
      </c>
      <c r="C32" s="1">
        <v>45677</v>
      </c>
      <c r="D32">
        <v>3</v>
      </c>
      <c r="E32">
        <v>3</v>
      </c>
      <c r="F32">
        <v>999</v>
      </c>
      <c r="G32" t="s">
        <v>22</v>
      </c>
      <c r="J32">
        <v>24480505</v>
      </c>
      <c r="K32" t="s">
        <v>82</v>
      </c>
      <c r="L32">
        <v>891200461</v>
      </c>
      <c r="M32" t="s">
        <v>29</v>
      </c>
      <c r="N32">
        <v>90168</v>
      </c>
      <c r="O32">
        <v>0</v>
      </c>
      <c r="P32">
        <v>721</v>
      </c>
      <c r="Q32" t="s">
        <v>607</v>
      </c>
      <c r="R32" t="s">
        <v>440</v>
      </c>
      <c r="S32">
        <v>2025</v>
      </c>
      <c r="T32">
        <v>40076819</v>
      </c>
      <c r="U32" t="s">
        <v>268</v>
      </c>
    </row>
    <row r="33" spans="1:21" x14ac:dyDescent="0.25">
      <c r="A33" t="s">
        <v>21</v>
      </c>
      <c r="B33">
        <v>1000106</v>
      </c>
      <c r="C33" s="1">
        <v>45679</v>
      </c>
      <c r="D33">
        <v>1</v>
      </c>
      <c r="E33">
        <v>1</v>
      </c>
      <c r="F33">
        <v>999</v>
      </c>
      <c r="G33" t="s">
        <v>22</v>
      </c>
      <c r="J33">
        <v>24480502</v>
      </c>
      <c r="K33" t="s">
        <v>106</v>
      </c>
      <c r="L33">
        <v>800102891</v>
      </c>
      <c r="M33" t="s">
        <v>36</v>
      </c>
      <c r="N33">
        <v>12436974</v>
      </c>
      <c r="O33">
        <v>0</v>
      </c>
      <c r="P33">
        <v>62185</v>
      </c>
      <c r="Q33" t="s">
        <v>339</v>
      </c>
      <c r="R33" t="s">
        <v>200</v>
      </c>
      <c r="S33">
        <v>2025</v>
      </c>
      <c r="T33">
        <v>830145805</v>
      </c>
      <c r="U33" t="s">
        <v>340</v>
      </c>
    </row>
    <row r="34" spans="1:21" x14ac:dyDescent="0.25">
      <c r="A34" t="s">
        <v>21</v>
      </c>
      <c r="B34">
        <v>1000122</v>
      </c>
      <c r="C34" s="1">
        <v>45684</v>
      </c>
      <c r="D34">
        <v>1</v>
      </c>
      <c r="E34">
        <v>7</v>
      </c>
      <c r="F34">
        <v>999</v>
      </c>
      <c r="G34" t="s">
        <v>22</v>
      </c>
      <c r="J34">
        <v>24480515</v>
      </c>
      <c r="K34" t="s">
        <v>52</v>
      </c>
      <c r="L34">
        <v>800252922</v>
      </c>
      <c r="M34" t="s">
        <v>53</v>
      </c>
      <c r="N34">
        <v>450000</v>
      </c>
      <c r="O34">
        <v>0</v>
      </c>
      <c r="P34">
        <v>3600</v>
      </c>
      <c r="Q34" t="s">
        <v>199</v>
      </c>
      <c r="R34" t="s">
        <v>200</v>
      </c>
      <c r="S34">
        <v>2025</v>
      </c>
      <c r="T34">
        <v>1006696549</v>
      </c>
      <c r="U34" t="s">
        <v>201</v>
      </c>
    </row>
    <row r="35" spans="1:21" x14ac:dyDescent="0.25">
      <c r="A35" t="s">
        <v>21</v>
      </c>
      <c r="B35">
        <v>1000121</v>
      </c>
      <c r="C35" s="1">
        <v>45684</v>
      </c>
      <c r="D35">
        <v>1</v>
      </c>
      <c r="E35">
        <v>1</v>
      </c>
      <c r="F35">
        <v>999</v>
      </c>
      <c r="G35" t="s">
        <v>22</v>
      </c>
      <c r="J35">
        <v>24480501</v>
      </c>
      <c r="K35" t="s">
        <v>35</v>
      </c>
      <c r="L35">
        <v>800102891</v>
      </c>
      <c r="M35" t="s">
        <v>36</v>
      </c>
      <c r="N35">
        <v>6594803</v>
      </c>
      <c r="O35">
        <v>0</v>
      </c>
      <c r="P35">
        <v>65948</v>
      </c>
      <c r="Q35" t="s">
        <v>405</v>
      </c>
      <c r="R35" t="s">
        <v>200</v>
      </c>
      <c r="S35">
        <v>2025</v>
      </c>
      <c r="T35">
        <v>18145427</v>
      </c>
      <c r="U35" t="s">
        <v>70</v>
      </c>
    </row>
    <row r="36" spans="1:21" x14ac:dyDescent="0.25">
      <c r="A36" t="s">
        <v>21</v>
      </c>
      <c r="B36">
        <v>1000129</v>
      </c>
      <c r="C36" s="1">
        <v>45686</v>
      </c>
      <c r="D36">
        <v>1</v>
      </c>
      <c r="E36">
        <v>1</v>
      </c>
      <c r="F36">
        <v>999</v>
      </c>
      <c r="G36" t="s">
        <v>22</v>
      </c>
      <c r="J36">
        <v>24480501</v>
      </c>
      <c r="K36" t="s">
        <v>35</v>
      </c>
      <c r="L36">
        <v>800102891</v>
      </c>
      <c r="M36" t="s">
        <v>36</v>
      </c>
      <c r="N36">
        <v>1170000</v>
      </c>
      <c r="O36">
        <v>0</v>
      </c>
      <c r="P36">
        <v>11700</v>
      </c>
      <c r="Q36" t="s">
        <v>135</v>
      </c>
      <c r="R36" t="s">
        <v>38</v>
      </c>
      <c r="S36">
        <v>2025</v>
      </c>
      <c r="T36">
        <v>900774181</v>
      </c>
      <c r="U36" t="s">
        <v>136</v>
      </c>
    </row>
    <row r="37" spans="1:21" x14ac:dyDescent="0.25">
      <c r="A37" t="s">
        <v>21</v>
      </c>
      <c r="B37">
        <v>7000004</v>
      </c>
      <c r="C37" s="1">
        <v>45686</v>
      </c>
      <c r="D37">
        <v>7</v>
      </c>
      <c r="E37">
        <v>7</v>
      </c>
      <c r="F37">
        <v>999</v>
      </c>
      <c r="G37" t="s">
        <v>22</v>
      </c>
      <c r="J37">
        <v>24480515</v>
      </c>
      <c r="K37" t="s">
        <v>52</v>
      </c>
      <c r="L37">
        <v>800252922</v>
      </c>
      <c r="M37" t="s">
        <v>53</v>
      </c>
      <c r="N37">
        <v>200000</v>
      </c>
      <c r="O37">
        <v>0</v>
      </c>
      <c r="P37">
        <v>1000</v>
      </c>
      <c r="Q37" t="s">
        <v>500</v>
      </c>
      <c r="R37" t="s">
        <v>64</v>
      </c>
      <c r="S37">
        <v>2025</v>
      </c>
      <c r="T37">
        <v>15572024</v>
      </c>
      <c r="U37" t="s">
        <v>187</v>
      </c>
    </row>
    <row r="38" spans="1:21" x14ac:dyDescent="0.25">
      <c r="A38" t="s">
        <v>21</v>
      </c>
      <c r="B38">
        <v>1000138</v>
      </c>
      <c r="C38" s="1">
        <v>45687</v>
      </c>
      <c r="D38">
        <v>1</v>
      </c>
      <c r="E38">
        <v>1</v>
      </c>
      <c r="F38">
        <v>999</v>
      </c>
      <c r="G38" t="s">
        <v>22</v>
      </c>
      <c r="J38">
        <v>24480502</v>
      </c>
      <c r="K38" t="s">
        <v>106</v>
      </c>
      <c r="L38">
        <v>800102891</v>
      </c>
      <c r="M38" t="s">
        <v>36</v>
      </c>
      <c r="N38">
        <v>595000</v>
      </c>
      <c r="O38">
        <v>0</v>
      </c>
      <c r="P38">
        <v>2975</v>
      </c>
      <c r="Q38" t="s">
        <v>323</v>
      </c>
      <c r="R38" t="s">
        <v>38</v>
      </c>
      <c r="S38">
        <v>2025</v>
      </c>
      <c r="T38">
        <v>1010081868</v>
      </c>
      <c r="U38" t="s">
        <v>110</v>
      </c>
    </row>
    <row r="39" spans="1:21" x14ac:dyDescent="0.25">
      <c r="A39" t="s">
        <v>21</v>
      </c>
      <c r="B39">
        <v>3000039</v>
      </c>
      <c r="C39" s="1">
        <v>45688</v>
      </c>
      <c r="D39">
        <v>3</v>
      </c>
      <c r="E39">
        <v>3</v>
      </c>
      <c r="F39">
        <v>999</v>
      </c>
      <c r="G39" t="s">
        <v>22</v>
      </c>
      <c r="J39">
        <v>24480505</v>
      </c>
      <c r="K39" t="s">
        <v>82</v>
      </c>
      <c r="L39">
        <v>891200461</v>
      </c>
      <c r="M39" t="s">
        <v>29</v>
      </c>
      <c r="N39">
        <v>48619</v>
      </c>
      <c r="O39">
        <v>0</v>
      </c>
      <c r="P39">
        <v>243</v>
      </c>
      <c r="Q39" t="s">
        <v>83</v>
      </c>
      <c r="R39" t="s">
        <v>84</v>
      </c>
      <c r="S39">
        <v>2025</v>
      </c>
      <c r="T39">
        <v>12236224</v>
      </c>
      <c r="U39" t="s">
        <v>85</v>
      </c>
    </row>
    <row r="40" spans="1:21" x14ac:dyDescent="0.25">
      <c r="A40" t="s">
        <v>93</v>
      </c>
      <c r="B40">
        <v>4000157</v>
      </c>
      <c r="C40" s="1">
        <v>45688</v>
      </c>
      <c r="D40">
        <v>4</v>
      </c>
      <c r="E40">
        <v>4</v>
      </c>
      <c r="F40">
        <v>999</v>
      </c>
      <c r="G40" t="s">
        <v>22</v>
      </c>
      <c r="J40">
        <v>24480509</v>
      </c>
      <c r="K40" t="s">
        <v>56</v>
      </c>
      <c r="L40">
        <v>800102912</v>
      </c>
      <c r="M40" t="s">
        <v>57</v>
      </c>
      <c r="N40">
        <v>204500</v>
      </c>
      <c r="O40">
        <v>0</v>
      </c>
      <c r="P40">
        <v>920</v>
      </c>
      <c r="Q40" t="s">
        <v>94</v>
      </c>
      <c r="R40" t="s">
        <v>59</v>
      </c>
      <c r="S40">
        <v>2025</v>
      </c>
      <c r="T40">
        <v>1123320083</v>
      </c>
      <c r="U40" t="s">
        <v>95</v>
      </c>
    </row>
    <row r="41" spans="1:21" x14ac:dyDescent="0.25">
      <c r="A41" t="s">
        <v>21</v>
      </c>
      <c r="B41">
        <v>3000039</v>
      </c>
      <c r="C41" s="1">
        <v>45688</v>
      </c>
      <c r="D41">
        <v>3</v>
      </c>
      <c r="E41">
        <v>3</v>
      </c>
      <c r="F41">
        <v>999</v>
      </c>
      <c r="G41" t="s">
        <v>22</v>
      </c>
      <c r="J41">
        <v>24480506</v>
      </c>
      <c r="K41" t="s">
        <v>28</v>
      </c>
      <c r="L41">
        <v>891200461</v>
      </c>
      <c r="M41" t="s">
        <v>29</v>
      </c>
      <c r="N41">
        <v>50404</v>
      </c>
      <c r="O41">
        <v>0</v>
      </c>
      <c r="P41">
        <v>403</v>
      </c>
      <c r="Q41" t="s">
        <v>83</v>
      </c>
      <c r="R41" t="s">
        <v>84</v>
      </c>
      <c r="S41">
        <v>2025</v>
      </c>
      <c r="T41">
        <v>1123209939</v>
      </c>
      <c r="U41" t="s">
        <v>111</v>
      </c>
    </row>
    <row r="42" spans="1:21" x14ac:dyDescent="0.25">
      <c r="A42" t="s">
        <v>21</v>
      </c>
      <c r="B42">
        <v>3000039</v>
      </c>
      <c r="C42" s="1">
        <v>45688</v>
      </c>
      <c r="D42">
        <v>3</v>
      </c>
      <c r="E42">
        <v>3</v>
      </c>
      <c r="F42">
        <v>999</v>
      </c>
      <c r="G42" t="s">
        <v>22</v>
      </c>
      <c r="J42">
        <v>24480505</v>
      </c>
      <c r="K42" t="s">
        <v>82</v>
      </c>
      <c r="L42">
        <v>891200461</v>
      </c>
      <c r="M42" t="s">
        <v>29</v>
      </c>
      <c r="N42">
        <v>12000</v>
      </c>
      <c r="O42">
        <v>0</v>
      </c>
      <c r="P42">
        <v>84</v>
      </c>
      <c r="Q42" t="s">
        <v>83</v>
      </c>
      <c r="R42" t="s">
        <v>84</v>
      </c>
      <c r="S42">
        <v>2025</v>
      </c>
      <c r="T42">
        <v>18184893</v>
      </c>
      <c r="U42" t="s">
        <v>206</v>
      </c>
    </row>
    <row r="43" spans="1:21" x14ac:dyDescent="0.25">
      <c r="A43" t="s">
        <v>21</v>
      </c>
      <c r="B43">
        <v>3000039</v>
      </c>
      <c r="C43" s="1">
        <v>45688</v>
      </c>
      <c r="D43">
        <v>3</v>
      </c>
      <c r="E43">
        <v>3</v>
      </c>
      <c r="F43">
        <v>999</v>
      </c>
      <c r="G43" t="s">
        <v>22</v>
      </c>
      <c r="J43">
        <v>24480505</v>
      </c>
      <c r="K43" t="s">
        <v>82</v>
      </c>
      <c r="L43">
        <v>891200461</v>
      </c>
      <c r="M43" t="s">
        <v>29</v>
      </c>
      <c r="N43">
        <v>12000</v>
      </c>
      <c r="O43">
        <v>0</v>
      </c>
      <c r="P43">
        <v>84</v>
      </c>
      <c r="Q43" t="s">
        <v>83</v>
      </c>
      <c r="R43" t="s">
        <v>84</v>
      </c>
      <c r="S43">
        <v>2025</v>
      </c>
      <c r="T43">
        <v>18184893</v>
      </c>
      <c r="U43" t="s">
        <v>206</v>
      </c>
    </row>
    <row r="44" spans="1:21" x14ac:dyDescent="0.25">
      <c r="A44" t="s">
        <v>21</v>
      </c>
      <c r="B44">
        <v>3000038</v>
      </c>
      <c r="C44" s="1">
        <v>45688</v>
      </c>
      <c r="D44">
        <v>3</v>
      </c>
      <c r="E44">
        <v>3</v>
      </c>
      <c r="F44">
        <v>999</v>
      </c>
      <c r="G44" t="s">
        <v>22</v>
      </c>
      <c r="J44">
        <v>24480505</v>
      </c>
      <c r="K44" t="s">
        <v>82</v>
      </c>
      <c r="L44">
        <v>891200461</v>
      </c>
      <c r="M44" t="s">
        <v>29</v>
      </c>
      <c r="N44">
        <v>137395</v>
      </c>
      <c r="O44">
        <v>0</v>
      </c>
      <c r="P44">
        <v>1099</v>
      </c>
      <c r="Q44" t="s">
        <v>267</v>
      </c>
      <c r="R44" t="s">
        <v>84</v>
      </c>
      <c r="S44">
        <v>2025</v>
      </c>
      <c r="T44">
        <v>40076819</v>
      </c>
      <c r="U44" t="s">
        <v>268</v>
      </c>
    </row>
    <row r="45" spans="1:21" x14ac:dyDescent="0.25">
      <c r="A45" t="s">
        <v>21</v>
      </c>
      <c r="B45">
        <v>3000039</v>
      </c>
      <c r="C45" s="1">
        <v>45688</v>
      </c>
      <c r="D45">
        <v>3</v>
      </c>
      <c r="E45">
        <v>3</v>
      </c>
      <c r="F45">
        <v>999</v>
      </c>
      <c r="G45" t="s">
        <v>22</v>
      </c>
      <c r="J45">
        <v>24480505</v>
      </c>
      <c r="K45" t="s">
        <v>82</v>
      </c>
      <c r="L45">
        <v>891200461</v>
      </c>
      <c r="M45" t="s">
        <v>29</v>
      </c>
      <c r="N45">
        <v>6051</v>
      </c>
      <c r="O45">
        <v>0</v>
      </c>
      <c r="P45">
        <v>60.51</v>
      </c>
      <c r="Q45" t="s">
        <v>83</v>
      </c>
      <c r="R45" t="s">
        <v>84</v>
      </c>
      <c r="S45">
        <v>2025</v>
      </c>
      <c r="T45">
        <v>18184893</v>
      </c>
      <c r="U45" t="s">
        <v>206</v>
      </c>
    </row>
    <row r="46" spans="1:21" x14ac:dyDescent="0.25">
      <c r="A46" t="s">
        <v>21</v>
      </c>
      <c r="B46">
        <v>3000039</v>
      </c>
      <c r="C46" s="1">
        <v>45688</v>
      </c>
      <c r="D46">
        <v>3</v>
      </c>
      <c r="E46">
        <v>3</v>
      </c>
      <c r="F46">
        <v>999</v>
      </c>
      <c r="G46" t="s">
        <v>22</v>
      </c>
      <c r="J46">
        <v>24480505</v>
      </c>
      <c r="K46" t="s">
        <v>82</v>
      </c>
      <c r="L46">
        <v>891200461</v>
      </c>
      <c r="M46" t="s">
        <v>29</v>
      </c>
      <c r="N46">
        <v>19750</v>
      </c>
      <c r="O46">
        <v>0</v>
      </c>
      <c r="P46">
        <v>158</v>
      </c>
      <c r="Q46" t="s">
        <v>83</v>
      </c>
      <c r="R46" t="s">
        <v>84</v>
      </c>
      <c r="S46">
        <v>2025</v>
      </c>
      <c r="T46">
        <v>40076819</v>
      </c>
      <c r="U46" t="s">
        <v>268</v>
      </c>
    </row>
    <row r="47" spans="1:21" x14ac:dyDescent="0.25">
      <c r="A47" t="s">
        <v>21</v>
      </c>
      <c r="B47">
        <v>3000039</v>
      </c>
      <c r="C47" s="1">
        <v>45688</v>
      </c>
      <c r="D47">
        <v>3</v>
      </c>
      <c r="E47">
        <v>3</v>
      </c>
      <c r="F47">
        <v>999</v>
      </c>
      <c r="G47" t="s">
        <v>22</v>
      </c>
      <c r="J47">
        <v>24480505</v>
      </c>
      <c r="K47" t="s">
        <v>82</v>
      </c>
      <c r="L47">
        <v>891200461</v>
      </c>
      <c r="M47" t="s">
        <v>29</v>
      </c>
      <c r="N47">
        <v>13445.38</v>
      </c>
      <c r="O47">
        <v>0</v>
      </c>
      <c r="P47">
        <v>94</v>
      </c>
      <c r="Q47" t="s">
        <v>83</v>
      </c>
      <c r="R47" t="s">
        <v>84</v>
      </c>
      <c r="S47">
        <v>2025</v>
      </c>
      <c r="T47">
        <v>14839233</v>
      </c>
      <c r="U47" t="s">
        <v>570</v>
      </c>
    </row>
    <row r="48" spans="1:21" x14ac:dyDescent="0.25">
      <c r="A48" t="s">
        <v>21</v>
      </c>
      <c r="B48">
        <v>1000155</v>
      </c>
      <c r="C48" s="1">
        <v>45691</v>
      </c>
      <c r="D48">
        <v>1</v>
      </c>
      <c r="E48">
        <v>7</v>
      </c>
      <c r="F48">
        <v>999</v>
      </c>
      <c r="G48" t="s">
        <v>22</v>
      </c>
      <c r="J48">
        <v>24480515</v>
      </c>
      <c r="K48" t="s">
        <v>52</v>
      </c>
      <c r="L48">
        <v>800252922</v>
      </c>
      <c r="M48" t="s">
        <v>53</v>
      </c>
      <c r="N48">
        <v>400000</v>
      </c>
      <c r="O48">
        <v>0</v>
      </c>
      <c r="P48">
        <v>3200</v>
      </c>
      <c r="Q48" t="s">
        <v>216</v>
      </c>
      <c r="R48" t="s">
        <v>38</v>
      </c>
      <c r="S48">
        <v>2025</v>
      </c>
      <c r="T48">
        <v>900620983</v>
      </c>
      <c r="U48" t="s">
        <v>68</v>
      </c>
    </row>
    <row r="49" spans="1:21" x14ac:dyDescent="0.25">
      <c r="A49" t="s">
        <v>21</v>
      </c>
      <c r="B49">
        <v>1000149</v>
      </c>
      <c r="C49" s="1">
        <v>45691</v>
      </c>
      <c r="D49">
        <v>1</v>
      </c>
      <c r="E49">
        <v>1</v>
      </c>
      <c r="F49">
        <v>999</v>
      </c>
      <c r="G49" t="s">
        <v>22</v>
      </c>
      <c r="J49">
        <v>24480501</v>
      </c>
      <c r="K49" t="s">
        <v>35</v>
      </c>
      <c r="L49">
        <v>800102891</v>
      </c>
      <c r="M49" t="s">
        <v>36</v>
      </c>
      <c r="N49">
        <v>480000</v>
      </c>
      <c r="O49">
        <v>0</v>
      </c>
      <c r="P49">
        <v>4800</v>
      </c>
      <c r="Q49" t="s">
        <v>256</v>
      </c>
      <c r="R49" t="s">
        <v>38</v>
      </c>
      <c r="S49">
        <v>2025</v>
      </c>
      <c r="T49">
        <v>900437268</v>
      </c>
      <c r="U49" t="s">
        <v>39</v>
      </c>
    </row>
    <row r="50" spans="1:21" x14ac:dyDescent="0.25">
      <c r="A50" t="s">
        <v>21</v>
      </c>
      <c r="B50">
        <v>1000157</v>
      </c>
      <c r="C50" s="1">
        <v>45691</v>
      </c>
      <c r="D50">
        <v>1</v>
      </c>
      <c r="E50">
        <v>7</v>
      </c>
      <c r="F50">
        <v>999</v>
      </c>
      <c r="G50" t="s">
        <v>22</v>
      </c>
      <c r="J50">
        <v>24480515</v>
      </c>
      <c r="K50" t="s">
        <v>52</v>
      </c>
      <c r="L50">
        <v>800252922</v>
      </c>
      <c r="M50" t="s">
        <v>53</v>
      </c>
      <c r="N50">
        <v>380000</v>
      </c>
      <c r="O50">
        <v>0</v>
      </c>
      <c r="P50">
        <v>3040</v>
      </c>
      <c r="Q50" t="s">
        <v>312</v>
      </c>
      <c r="R50" t="s">
        <v>38</v>
      </c>
      <c r="S50">
        <v>2025</v>
      </c>
      <c r="T50">
        <v>900502634</v>
      </c>
      <c r="U50" t="s">
        <v>55</v>
      </c>
    </row>
    <row r="51" spans="1:21" x14ac:dyDescent="0.25">
      <c r="A51" t="s">
        <v>21</v>
      </c>
      <c r="B51">
        <v>1000160</v>
      </c>
      <c r="C51" s="1">
        <v>45691</v>
      </c>
      <c r="D51">
        <v>1</v>
      </c>
      <c r="E51">
        <v>4</v>
      </c>
      <c r="F51">
        <v>999</v>
      </c>
      <c r="G51" t="s">
        <v>22</v>
      </c>
      <c r="J51">
        <v>24480510</v>
      </c>
      <c r="K51" t="s">
        <v>66</v>
      </c>
      <c r="L51">
        <v>800102912</v>
      </c>
      <c r="M51" t="s">
        <v>57</v>
      </c>
      <c r="N51">
        <v>380000</v>
      </c>
      <c r="O51">
        <v>0</v>
      </c>
      <c r="P51">
        <v>2660</v>
      </c>
      <c r="Q51" t="s">
        <v>366</v>
      </c>
      <c r="R51" t="s">
        <v>38</v>
      </c>
      <c r="S51">
        <v>2025</v>
      </c>
      <c r="T51">
        <v>900502634</v>
      </c>
      <c r="U51" t="s">
        <v>55</v>
      </c>
    </row>
    <row r="52" spans="1:21" x14ac:dyDescent="0.25">
      <c r="A52" t="s">
        <v>21</v>
      </c>
      <c r="B52">
        <v>1000154</v>
      </c>
      <c r="C52" s="1">
        <v>45691</v>
      </c>
      <c r="D52">
        <v>1</v>
      </c>
      <c r="E52">
        <v>4</v>
      </c>
      <c r="F52">
        <v>999</v>
      </c>
      <c r="G52" t="s">
        <v>22</v>
      </c>
      <c r="J52">
        <v>24480510</v>
      </c>
      <c r="K52" t="s">
        <v>66</v>
      </c>
      <c r="L52">
        <v>800102912</v>
      </c>
      <c r="M52" t="s">
        <v>57</v>
      </c>
      <c r="N52">
        <v>400000</v>
      </c>
      <c r="O52">
        <v>0</v>
      </c>
      <c r="P52">
        <v>2800</v>
      </c>
      <c r="Q52" t="s">
        <v>489</v>
      </c>
      <c r="R52" t="s">
        <v>38</v>
      </c>
      <c r="S52">
        <v>2025</v>
      </c>
      <c r="T52">
        <v>900620983</v>
      </c>
      <c r="U52" t="s">
        <v>68</v>
      </c>
    </row>
    <row r="53" spans="1:21" x14ac:dyDescent="0.25">
      <c r="A53" t="s">
        <v>21</v>
      </c>
      <c r="B53">
        <v>1000153</v>
      </c>
      <c r="C53" s="1">
        <v>45691</v>
      </c>
      <c r="D53">
        <v>1</v>
      </c>
      <c r="E53">
        <v>2</v>
      </c>
      <c r="F53">
        <v>999</v>
      </c>
      <c r="G53" t="s">
        <v>22</v>
      </c>
      <c r="J53">
        <v>24480518</v>
      </c>
      <c r="K53" t="s">
        <v>75</v>
      </c>
      <c r="L53">
        <v>891201645</v>
      </c>
      <c r="M53" t="s">
        <v>47</v>
      </c>
      <c r="N53">
        <v>270000</v>
      </c>
      <c r="O53">
        <v>0</v>
      </c>
      <c r="P53">
        <v>2700</v>
      </c>
      <c r="Q53" t="s">
        <v>649</v>
      </c>
      <c r="R53" t="s">
        <v>38</v>
      </c>
      <c r="S53">
        <v>2025</v>
      </c>
      <c r="T53">
        <v>900437268</v>
      </c>
      <c r="U53" t="s">
        <v>39</v>
      </c>
    </row>
    <row r="54" spans="1:21" x14ac:dyDescent="0.25">
      <c r="A54" t="s">
        <v>21</v>
      </c>
      <c r="B54">
        <v>1000184</v>
      </c>
      <c r="C54" s="1">
        <v>45694</v>
      </c>
      <c r="D54">
        <v>1</v>
      </c>
      <c r="E54">
        <v>3</v>
      </c>
      <c r="F54">
        <v>999</v>
      </c>
      <c r="G54" t="s">
        <v>22</v>
      </c>
      <c r="J54">
        <v>24480506</v>
      </c>
      <c r="K54" t="s">
        <v>28</v>
      </c>
      <c r="L54">
        <v>891200461</v>
      </c>
      <c r="M54" t="s">
        <v>29</v>
      </c>
      <c r="N54">
        <v>295210</v>
      </c>
      <c r="O54">
        <v>0</v>
      </c>
      <c r="P54">
        <v>2952</v>
      </c>
      <c r="Q54" t="s">
        <v>532</v>
      </c>
      <c r="R54" t="s">
        <v>38</v>
      </c>
      <c r="S54">
        <v>2025</v>
      </c>
      <c r="T54">
        <v>900593821</v>
      </c>
      <c r="U54" t="s">
        <v>390</v>
      </c>
    </row>
    <row r="55" spans="1:21" x14ac:dyDescent="0.25">
      <c r="A55" t="s">
        <v>21</v>
      </c>
      <c r="B55">
        <v>2000033</v>
      </c>
      <c r="C55" s="1">
        <v>45699</v>
      </c>
      <c r="D55">
        <v>2</v>
      </c>
      <c r="E55">
        <v>2</v>
      </c>
      <c r="F55">
        <v>999</v>
      </c>
      <c r="G55" t="s">
        <v>22</v>
      </c>
      <c r="J55">
        <v>24480517</v>
      </c>
      <c r="K55" t="s">
        <v>46</v>
      </c>
      <c r="L55">
        <v>891201645</v>
      </c>
      <c r="M55" t="s">
        <v>47</v>
      </c>
      <c r="N55">
        <v>483529</v>
      </c>
      <c r="O55">
        <v>0</v>
      </c>
      <c r="P55">
        <v>4835</v>
      </c>
      <c r="Q55" t="s">
        <v>48</v>
      </c>
      <c r="R55" t="s">
        <v>49</v>
      </c>
      <c r="S55">
        <v>2025</v>
      </c>
      <c r="T55">
        <v>12960193</v>
      </c>
      <c r="U55" t="s">
        <v>50</v>
      </c>
    </row>
    <row r="56" spans="1:21" x14ac:dyDescent="0.25">
      <c r="A56" t="s">
        <v>21</v>
      </c>
      <c r="B56">
        <v>1000258</v>
      </c>
      <c r="C56" s="1">
        <v>45699</v>
      </c>
      <c r="D56">
        <v>1</v>
      </c>
      <c r="E56">
        <v>1</v>
      </c>
      <c r="F56">
        <v>999</v>
      </c>
      <c r="G56" t="s">
        <v>22</v>
      </c>
      <c r="J56">
        <v>24480502</v>
      </c>
      <c r="K56" t="s">
        <v>106</v>
      </c>
      <c r="L56">
        <v>800102891</v>
      </c>
      <c r="M56" t="s">
        <v>36</v>
      </c>
      <c r="N56">
        <v>2095000</v>
      </c>
      <c r="O56">
        <v>0</v>
      </c>
      <c r="P56">
        <v>12570</v>
      </c>
      <c r="Q56" t="s">
        <v>158</v>
      </c>
      <c r="R56" t="s">
        <v>38</v>
      </c>
      <c r="S56">
        <v>2025</v>
      </c>
      <c r="T56">
        <v>1124850208</v>
      </c>
      <c r="U56" t="s">
        <v>159</v>
      </c>
    </row>
    <row r="57" spans="1:21" x14ac:dyDescent="0.25">
      <c r="A57" t="s">
        <v>21</v>
      </c>
      <c r="B57">
        <v>3000055</v>
      </c>
      <c r="C57" s="1">
        <v>45699</v>
      </c>
      <c r="D57">
        <v>3</v>
      </c>
      <c r="E57">
        <v>3</v>
      </c>
      <c r="F57">
        <v>999</v>
      </c>
      <c r="G57" t="s">
        <v>22</v>
      </c>
      <c r="J57">
        <v>24480505</v>
      </c>
      <c r="K57" t="s">
        <v>82</v>
      </c>
      <c r="L57">
        <v>891200461</v>
      </c>
      <c r="M57" t="s">
        <v>29</v>
      </c>
      <c r="N57">
        <v>297479</v>
      </c>
      <c r="O57">
        <v>0</v>
      </c>
      <c r="P57">
        <v>2380</v>
      </c>
      <c r="Q57" t="s">
        <v>347</v>
      </c>
      <c r="R57" t="s">
        <v>84</v>
      </c>
      <c r="S57">
        <v>2025</v>
      </c>
      <c r="T57">
        <v>40076819</v>
      </c>
      <c r="U57" t="s">
        <v>268</v>
      </c>
    </row>
    <row r="58" spans="1:21" x14ac:dyDescent="0.25">
      <c r="A58" t="s">
        <v>21</v>
      </c>
      <c r="B58">
        <v>6000021</v>
      </c>
      <c r="C58" s="1">
        <v>45699</v>
      </c>
      <c r="D58">
        <v>6</v>
      </c>
      <c r="E58">
        <v>6</v>
      </c>
      <c r="F58">
        <v>999</v>
      </c>
      <c r="G58" t="s">
        <v>22</v>
      </c>
      <c r="J58">
        <v>24480512</v>
      </c>
      <c r="K58" t="s">
        <v>123</v>
      </c>
      <c r="L58">
        <v>891200513</v>
      </c>
      <c r="M58" t="s">
        <v>124</v>
      </c>
      <c r="N58">
        <v>1350000</v>
      </c>
      <c r="O58">
        <v>0</v>
      </c>
      <c r="P58">
        <v>6750</v>
      </c>
      <c r="Q58" t="s">
        <v>616</v>
      </c>
      <c r="R58" t="s">
        <v>126</v>
      </c>
      <c r="S58">
        <v>2025</v>
      </c>
      <c r="T58">
        <v>26636874</v>
      </c>
      <c r="U58" t="s">
        <v>127</v>
      </c>
    </row>
    <row r="59" spans="1:21" x14ac:dyDescent="0.25">
      <c r="A59" t="s">
        <v>21</v>
      </c>
      <c r="B59">
        <v>2000032</v>
      </c>
      <c r="C59" s="1">
        <v>45699</v>
      </c>
      <c r="D59">
        <v>2</v>
      </c>
      <c r="E59">
        <v>2</v>
      </c>
      <c r="F59">
        <v>999</v>
      </c>
      <c r="G59" t="s">
        <v>22</v>
      </c>
      <c r="J59">
        <v>24480517</v>
      </c>
      <c r="K59" t="s">
        <v>46</v>
      </c>
      <c r="L59">
        <v>891201645</v>
      </c>
      <c r="M59" t="s">
        <v>47</v>
      </c>
      <c r="N59">
        <v>259179</v>
      </c>
      <c r="O59">
        <v>0</v>
      </c>
      <c r="P59">
        <v>2591</v>
      </c>
      <c r="Q59" t="s">
        <v>631</v>
      </c>
      <c r="R59" t="s">
        <v>49</v>
      </c>
      <c r="S59">
        <v>2025</v>
      </c>
      <c r="T59">
        <v>12960193</v>
      </c>
      <c r="U59" t="s">
        <v>50</v>
      </c>
    </row>
    <row r="60" spans="1:21" x14ac:dyDescent="0.25">
      <c r="A60" t="s">
        <v>21</v>
      </c>
      <c r="B60">
        <v>3000058</v>
      </c>
      <c r="C60" s="1">
        <v>45701</v>
      </c>
      <c r="D60">
        <v>3</v>
      </c>
      <c r="E60">
        <v>3</v>
      </c>
      <c r="F60">
        <v>999</v>
      </c>
      <c r="G60" t="s">
        <v>22</v>
      </c>
      <c r="J60">
        <v>24480505</v>
      </c>
      <c r="K60" t="s">
        <v>82</v>
      </c>
      <c r="L60">
        <v>891200461</v>
      </c>
      <c r="M60" t="s">
        <v>29</v>
      </c>
      <c r="N60">
        <v>64118</v>
      </c>
      <c r="O60">
        <v>0</v>
      </c>
      <c r="P60">
        <v>449</v>
      </c>
      <c r="Q60" t="s">
        <v>571</v>
      </c>
      <c r="R60" t="s">
        <v>84</v>
      </c>
      <c r="S60">
        <v>2025</v>
      </c>
      <c r="T60">
        <v>14839233</v>
      </c>
      <c r="U60" t="s">
        <v>570</v>
      </c>
    </row>
    <row r="61" spans="1:21" x14ac:dyDescent="0.25">
      <c r="A61" t="s">
        <v>21</v>
      </c>
      <c r="B61">
        <v>1000292</v>
      </c>
      <c r="C61" s="1">
        <v>45702</v>
      </c>
      <c r="D61">
        <v>1</v>
      </c>
      <c r="E61">
        <v>3</v>
      </c>
      <c r="F61">
        <v>999</v>
      </c>
      <c r="G61" t="s">
        <v>22</v>
      </c>
      <c r="J61">
        <v>24480506</v>
      </c>
      <c r="K61" t="s">
        <v>28</v>
      </c>
      <c r="L61">
        <v>891200461</v>
      </c>
      <c r="M61" t="s">
        <v>29</v>
      </c>
      <c r="N61">
        <v>0</v>
      </c>
      <c r="O61">
        <v>5595</v>
      </c>
      <c r="P61">
        <v>0</v>
      </c>
      <c r="Q61" t="s">
        <v>92</v>
      </c>
      <c r="R61" t="s">
        <v>38</v>
      </c>
      <c r="S61">
        <v>2025</v>
      </c>
      <c r="T61">
        <v>891200461</v>
      </c>
      <c r="U61" t="s">
        <v>29</v>
      </c>
    </row>
    <row r="62" spans="1:21" x14ac:dyDescent="0.25">
      <c r="A62" t="s">
        <v>21</v>
      </c>
      <c r="B62">
        <v>1000295</v>
      </c>
      <c r="C62" s="1">
        <v>45702</v>
      </c>
      <c r="D62">
        <v>1</v>
      </c>
      <c r="E62">
        <v>7</v>
      </c>
      <c r="F62">
        <v>999</v>
      </c>
      <c r="G62" t="s">
        <v>22</v>
      </c>
      <c r="J62">
        <v>24480515</v>
      </c>
      <c r="K62" t="s">
        <v>52</v>
      </c>
      <c r="L62">
        <v>800252922</v>
      </c>
      <c r="M62" t="s">
        <v>53</v>
      </c>
      <c r="N62">
        <v>0</v>
      </c>
      <c r="O62">
        <v>9480</v>
      </c>
      <c r="P62">
        <v>0</v>
      </c>
      <c r="Q62" t="s">
        <v>290</v>
      </c>
    </row>
    <row r="63" spans="1:21" x14ac:dyDescent="0.25">
      <c r="A63" t="s">
        <v>21</v>
      </c>
      <c r="B63">
        <v>1000295</v>
      </c>
      <c r="C63" s="1">
        <v>45702</v>
      </c>
      <c r="D63">
        <v>1</v>
      </c>
      <c r="E63">
        <v>7</v>
      </c>
      <c r="F63">
        <v>999</v>
      </c>
      <c r="G63" t="s">
        <v>22</v>
      </c>
      <c r="J63">
        <v>24480516</v>
      </c>
      <c r="K63" t="s">
        <v>79</v>
      </c>
      <c r="L63">
        <v>800252922</v>
      </c>
      <c r="M63" t="s">
        <v>53</v>
      </c>
      <c r="N63">
        <v>0</v>
      </c>
      <c r="O63">
        <v>4480</v>
      </c>
      <c r="P63">
        <v>0</v>
      </c>
      <c r="Q63" t="s">
        <v>290</v>
      </c>
    </row>
    <row r="64" spans="1:21" x14ac:dyDescent="0.25">
      <c r="A64" t="s">
        <v>21</v>
      </c>
      <c r="B64">
        <v>1000294</v>
      </c>
      <c r="C64" s="1">
        <v>45702</v>
      </c>
      <c r="D64">
        <v>1</v>
      </c>
      <c r="E64">
        <v>6</v>
      </c>
      <c r="F64">
        <v>999</v>
      </c>
      <c r="G64" t="s">
        <v>22</v>
      </c>
      <c r="J64">
        <v>24480512</v>
      </c>
      <c r="K64" t="s">
        <v>123</v>
      </c>
      <c r="L64">
        <v>891200513</v>
      </c>
      <c r="M64" t="s">
        <v>124</v>
      </c>
      <c r="N64">
        <v>0</v>
      </c>
      <c r="O64">
        <v>6750</v>
      </c>
      <c r="P64">
        <v>0</v>
      </c>
      <c r="Q64" t="s">
        <v>365</v>
      </c>
      <c r="R64" t="s">
        <v>38</v>
      </c>
      <c r="S64">
        <v>2025</v>
      </c>
      <c r="T64">
        <v>891200513</v>
      </c>
      <c r="U64" t="s">
        <v>124</v>
      </c>
    </row>
    <row r="65" spans="1:21" x14ac:dyDescent="0.25">
      <c r="A65" t="s">
        <v>21</v>
      </c>
      <c r="B65">
        <v>1000296</v>
      </c>
      <c r="C65" s="1">
        <v>45702</v>
      </c>
      <c r="D65">
        <v>1</v>
      </c>
      <c r="E65">
        <v>8</v>
      </c>
      <c r="F65">
        <v>999</v>
      </c>
      <c r="G65" t="s">
        <v>22</v>
      </c>
      <c r="J65">
        <v>24480519</v>
      </c>
      <c r="K65" t="s">
        <v>32</v>
      </c>
      <c r="L65">
        <v>800054249</v>
      </c>
      <c r="M65" t="s">
        <v>33</v>
      </c>
      <c r="N65">
        <v>0</v>
      </c>
      <c r="O65">
        <v>51519</v>
      </c>
      <c r="P65">
        <v>0</v>
      </c>
      <c r="Q65" t="s">
        <v>411</v>
      </c>
      <c r="R65" t="s">
        <v>38</v>
      </c>
      <c r="S65">
        <v>2025</v>
      </c>
      <c r="T65">
        <v>800054249</v>
      </c>
      <c r="U65" t="s">
        <v>33</v>
      </c>
    </row>
    <row r="66" spans="1:21" x14ac:dyDescent="0.25">
      <c r="A66" t="s">
        <v>21</v>
      </c>
      <c r="B66">
        <v>1000290</v>
      </c>
      <c r="C66" s="1">
        <v>45702</v>
      </c>
      <c r="D66">
        <v>1</v>
      </c>
      <c r="E66">
        <v>1</v>
      </c>
      <c r="F66">
        <v>999</v>
      </c>
      <c r="G66" t="s">
        <v>22</v>
      </c>
      <c r="J66">
        <v>24480502</v>
      </c>
      <c r="K66" t="s">
        <v>106</v>
      </c>
      <c r="L66">
        <v>800102891</v>
      </c>
      <c r="M66" t="s">
        <v>36</v>
      </c>
      <c r="N66">
        <v>0</v>
      </c>
      <c r="O66">
        <v>65160</v>
      </c>
      <c r="P66">
        <v>0</v>
      </c>
      <c r="Q66" t="s">
        <v>523</v>
      </c>
      <c r="R66" t="s">
        <v>38</v>
      </c>
      <c r="S66">
        <v>2025</v>
      </c>
      <c r="T66">
        <v>800102891</v>
      </c>
      <c r="U66" t="s">
        <v>36</v>
      </c>
    </row>
    <row r="67" spans="1:21" x14ac:dyDescent="0.25">
      <c r="A67" t="s">
        <v>21</v>
      </c>
      <c r="B67">
        <v>1000293</v>
      </c>
      <c r="C67" s="1">
        <v>45702</v>
      </c>
      <c r="D67">
        <v>1</v>
      </c>
      <c r="E67">
        <v>4</v>
      </c>
      <c r="F67">
        <v>999</v>
      </c>
      <c r="G67" t="s">
        <v>22</v>
      </c>
      <c r="J67">
        <v>24480509</v>
      </c>
      <c r="K67" t="s">
        <v>56</v>
      </c>
      <c r="L67">
        <v>800102912</v>
      </c>
      <c r="M67" t="s">
        <v>57</v>
      </c>
      <c r="N67">
        <v>0</v>
      </c>
      <c r="O67">
        <v>920</v>
      </c>
      <c r="P67">
        <v>0</v>
      </c>
      <c r="Q67" t="s">
        <v>581</v>
      </c>
      <c r="R67" t="s">
        <v>38</v>
      </c>
      <c r="S67">
        <v>2025</v>
      </c>
      <c r="T67">
        <v>800102912</v>
      </c>
      <c r="U67" t="s">
        <v>57</v>
      </c>
    </row>
    <row r="68" spans="1:21" x14ac:dyDescent="0.25">
      <c r="A68" t="s">
        <v>21</v>
      </c>
      <c r="B68">
        <v>1000290</v>
      </c>
      <c r="C68" s="1">
        <v>45702</v>
      </c>
      <c r="D68">
        <v>1</v>
      </c>
      <c r="E68">
        <v>1</v>
      </c>
      <c r="F68">
        <v>999</v>
      </c>
      <c r="G68" t="s">
        <v>22</v>
      </c>
      <c r="J68">
        <v>24480501</v>
      </c>
      <c r="K68" t="s">
        <v>35</v>
      </c>
      <c r="L68">
        <v>800102891</v>
      </c>
      <c r="M68" t="s">
        <v>36</v>
      </c>
      <c r="N68">
        <v>0</v>
      </c>
      <c r="O68">
        <v>82448</v>
      </c>
      <c r="P68">
        <v>0</v>
      </c>
      <c r="Q68" t="s">
        <v>523</v>
      </c>
      <c r="R68" t="s">
        <v>38</v>
      </c>
      <c r="S68">
        <v>2025</v>
      </c>
      <c r="T68">
        <v>800102891</v>
      </c>
      <c r="U68" t="s">
        <v>36</v>
      </c>
    </row>
    <row r="69" spans="1:21" x14ac:dyDescent="0.25">
      <c r="A69" t="s">
        <v>21</v>
      </c>
      <c r="B69">
        <v>1000291</v>
      </c>
      <c r="C69" s="1">
        <v>45702</v>
      </c>
      <c r="D69">
        <v>1</v>
      </c>
      <c r="E69">
        <v>2</v>
      </c>
      <c r="F69">
        <v>999</v>
      </c>
      <c r="G69" t="s">
        <v>22</v>
      </c>
      <c r="J69">
        <v>24480518</v>
      </c>
      <c r="K69" t="s">
        <v>75</v>
      </c>
      <c r="L69">
        <v>891201645</v>
      </c>
      <c r="M69" t="s">
        <v>47</v>
      </c>
      <c r="N69">
        <v>0</v>
      </c>
      <c r="O69">
        <v>4250</v>
      </c>
      <c r="P69">
        <v>0</v>
      </c>
      <c r="Q69" t="s">
        <v>647</v>
      </c>
      <c r="R69" t="s">
        <v>38</v>
      </c>
      <c r="S69">
        <v>2025</v>
      </c>
      <c r="T69">
        <v>891201645</v>
      </c>
      <c r="U69" t="s">
        <v>47</v>
      </c>
    </row>
    <row r="70" spans="1:21" x14ac:dyDescent="0.25">
      <c r="A70" t="s">
        <v>21</v>
      </c>
      <c r="B70">
        <v>1000292</v>
      </c>
      <c r="C70" s="1">
        <v>45702</v>
      </c>
      <c r="D70">
        <v>1</v>
      </c>
      <c r="E70">
        <v>3</v>
      </c>
      <c r="F70">
        <v>999</v>
      </c>
      <c r="G70" t="s">
        <v>22</v>
      </c>
      <c r="J70">
        <v>24480505</v>
      </c>
      <c r="K70" t="s">
        <v>82</v>
      </c>
      <c r="L70">
        <v>891200461</v>
      </c>
      <c r="M70" t="s">
        <v>29</v>
      </c>
      <c r="N70">
        <v>0</v>
      </c>
      <c r="O70">
        <v>3223.51</v>
      </c>
      <c r="P70">
        <v>0</v>
      </c>
      <c r="Q70" t="s">
        <v>92</v>
      </c>
      <c r="R70" t="s">
        <v>38</v>
      </c>
      <c r="S70">
        <v>2025</v>
      </c>
      <c r="T70">
        <v>891200461</v>
      </c>
      <c r="U70" t="s">
        <v>29</v>
      </c>
    </row>
    <row r="71" spans="1:21" x14ac:dyDescent="0.25">
      <c r="A71" t="s">
        <v>21</v>
      </c>
      <c r="B71">
        <v>1000293</v>
      </c>
      <c r="C71" s="1">
        <v>45702</v>
      </c>
      <c r="D71">
        <v>1</v>
      </c>
      <c r="E71">
        <v>4</v>
      </c>
      <c r="F71">
        <v>999</v>
      </c>
      <c r="G71" t="s">
        <v>22</v>
      </c>
      <c r="J71">
        <v>24480510</v>
      </c>
      <c r="K71" t="s">
        <v>66</v>
      </c>
      <c r="L71">
        <v>800102912</v>
      </c>
      <c r="M71" t="s">
        <v>57</v>
      </c>
      <c r="N71">
        <v>0</v>
      </c>
      <c r="O71">
        <v>5780</v>
      </c>
      <c r="P71">
        <v>0</v>
      </c>
      <c r="Q71" t="s">
        <v>581</v>
      </c>
      <c r="R71" t="s">
        <v>38</v>
      </c>
      <c r="S71">
        <v>2025</v>
      </c>
      <c r="T71">
        <v>800102912</v>
      </c>
      <c r="U71" t="s">
        <v>57</v>
      </c>
    </row>
    <row r="72" spans="1:21" x14ac:dyDescent="0.25">
      <c r="A72" t="s">
        <v>21</v>
      </c>
      <c r="B72">
        <v>1000310</v>
      </c>
      <c r="C72" s="1">
        <v>45705</v>
      </c>
      <c r="D72">
        <v>1</v>
      </c>
      <c r="E72">
        <v>8</v>
      </c>
      <c r="F72">
        <v>999</v>
      </c>
      <c r="G72" t="s">
        <v>22</v>
      </c>
      <c r="J72">
        <v>24480519</v>
      </c>
      <c r="K72" t="s">
        <v>32</v>
      </c>
      <c r="L72">
        <v>800054249</v>
      </c>
      <c r="M72" t="s">
        <v>33</v>
      </c>
      <c r="N72">
        <v>10303705</v>
      </c>
      <c r="O72">
        <v>0</v>
      </c>
      <c r="P72">
        <v>51518</v>
      </c>
      <c r="Q72" t="s">
        <v>423</v>
      </c>
      <c r="R72" t="s">
        <v>38</v>
      </c>
      <c r="S72">
        <v>2025</v>
      </c>
      <c r="T72">
        <v>900579315</v>
      </c>
      <c r="U72" t="s">
        <v>44</v>
      </c>
    </row>
    <row r="73" spans="1:21" x14ac:dyDescent="0.25">
      <c r="A73" t="s">
        <v>21</v>
      </c>
      <c r="B73">
        <v>3000063</v>
      </c>
      <c r="C73" s="1">
        <v>45705</v>
      </c>
      <c r="D73">
        <v>3</v>
      </c>
      <c r="E73">
        <v>3</v>
      </c>
      <c r="F73">
        <v>999</v>
      </c>
      <c r="G73" t="s">
        <v>22</v>
      </c>
      <c r="J73">
        <v>24480506</v>
      </c>
      <c r="K73" t="s">
        <v>28</v>
      </c>
      <c r="L73">
        <v>891200461</v>
      </c>
      <c r="M73" t="s">
        <v>29</v>
      </c>
      <c r="N73">
        <v>320000</v>
      </c>
      <c r="O73">
        <v>0</v>
      </c>
      <c r="P73">
        <v>2560</v>
      </c>
      <c r="Q73" t="s">
        <v>488</v>
      </c>
      <c r="R73" t="s">
        <v>84</v>
      </c>
      <c r="S73">
        <v>2025</v>
      </c>
      <c r="T73">
        <v>846002782</v>
      </c>
      <c r="U73" t="s">
        <v>441</v>
      </c>
    </row>
    <row r="74" spans="1:21" x14ac:dyDescent="0.25">
      <c r="A74" t="s">
        <v>21</v>
      </c>
      <c r="B74">
        <v>1000314</v>
      </c>
      <c r="C74" s="1">
        <v>45706</v>
      </c>
      <c r="D74">
        <v>1</v>
      </c>
      <c r="E74">
        <v>4</v>
      </c>
      <c r="F74">
        <v>999</v>
      </c>
      <c r="G74" t="s">
        <v>22</v>
      </c>
      <c r="J74">
        <v>24480510</v>
      </c>
      <c r="K74" t="s">
        <v>66</v>
      </c>
      <c r="L74">
        <v>800102912</v>
      </c>
      <c r="M74" t="s">
        <v>57</v>
      </c>
      <c r="N74">
        <v>376050</v>
      </c>
      <c r="O74">
        <v>0</v>
      </c>
      <c r="P74">
        <v>2632</v>
      </c>
      <c r="Q74" t="s">
        <v>67</v>
      </c>
      <c r="R74" t="s">
        <v>38</v>
      </c>
      <c r="S74">
        <v>2025</v>
      </c>
      <c r="T74">
        <v>900620983</v>
      </c>
      <c r="U74" t="s">
        <v>68</v>
      </c>
    </row>
    <row r="75" spans="1:21" x14ac:dyDescent="0.25">
      <c r="A75" t="s">
        <v>93</v>
      </c>
      <c r="B75">
        <v>1000697</v>
      </c>
      <c r="C75" s="1">
        <v>45712</v>
      </c>
      <c r="D75">
        <v>1</v>
      </c>
      <c r="E75">
        <v>1</v>
      </c>
      <c r="F75">
        <v>999</v>
      </c>
      <c r="G75" t="s">
        <v>22</v>
      </c>
      <c r="J75">
        <v>24480501</v>
      </c>
      <c r="K75" t="s">
        <v>35</v>
      </c>
      <c r="L75">
        <v>800102891</v>
      </c>
      <c r="M75" t="s">
        <v>36</v>
      </c>
      <c r="N75">
        <v>1964075</v>
      </c>
      <c r="O75">
        <v>0</v>
      </c>
      <c r="P75">
        <v>19640</v>
      </c>
      <c r="Q75" t="s">
        <v>231</v>
      </c>
      <c r="R75" t="s">
        <v>31</v>
      </c>
      <c r="S75">
        <v>2025</v>
      </c>
      <c r="T75">
        <v>18127828</v>
      </c>
      <c r="U75" t="s">
        <v>205</v>
      </c>
    </row>
    <row r="76" spans="1:21" x14ac:dyDescent="0.25">
      <c r="A76" t="s">
        <v>21</v>
      </c>
      <c r="B76">
        <v>1000350</v>
      </c>
      <c r="C76" s="1">
        <v>45713</v>
      </c>
      <c r="D76">
        <v>1</v>
      </c>
      <c r="E76">
        <v>1</v>
      </c>
      <c r="F76">
        <v>999</v>
      </c>
      <c r="G76" t="s">
        <v>22</v>
      </c>
      <c r="J76">
        <v>24480501</v>
      </c>
      <c r="K76" t="s">
        <v>35</v>
      </c>
      <c r="L76">
        <v>800102891</v>
      </c>
      <c r="M76" t="s">
        <v>36</v>
      </c>
      <c r="N76">
        <v>733000</v>
      </c>
      <c r="O76">
        <v>0</v>
      </c>
      <c r="P76">
        <v>7330</v>
      </c>
      <c r="Q76" t="s">
        <v>238</v>
      </c>
      <c r="R76" t="s">
        <v>168</v>
      </c>
      <c r="S76">
        <v>2025</v>
      </c>
      <c r="T76">
        <v>1124853065</v>
      </c>
      <c r="U76" t="s">
        <v>233</v>
      </c>
    </row>
    <row r="77" spans="1:21" x14ac:dyDescent="0.25">
      <c r="A77" t="s">
        <v>21</v>
      </c>
      <c r="B77">
        <v>4000053</v>
      </c>
      <c r="C77" s="1">
        <v>45713</v>
      </c>
      <c r="D77">
        <v>4</v>
      </c>
      <c r="E77">
        <v>4</v>
      </c>
      <c r="F77">
        <v>999</v>
      </c>
      <c r="G77" t="s">
        <v>22</v>
      </c>
      <c r="J77">
        <v>24480510</v>
      </c>
      <c r="K77" t="s">
        <v>66</v>
      </c>
      <c r="L77">
        <v>800102912</v>
      </c>
      <c r="M77" t="s">
        <v>57</v>
      </c>
      <c r="N77">
        <v>1120000</v>
      </c>
      <c r="O77">
        <v>0</v>
      </c>
      <c r="P77">
        <v>5040</v>
      </c>
      <c r="Q77" t="s">
        <v>534</v>
      </c>
      <c r="R77" t="s">
        <v>59</v>
      </c>
      <c r="S77">
        <v>2025</v>
      </c>
      <c r="T77">
        <v>66808199</v>
      </c>
      <c r="U77" t="s">
        <v>166</v>
      </c>
    </row>
    <row r="78" spans="1:21" x14ac:dyDescent="0.25">
      <c r="A78" t="s">
        <v>21</v>
      </c>
      <c r="B78">
        <v>2000044</v>
      </c>
      <c r="C78" s="1">
        <v>45714</v>
      </c>
      <c r="D78">
        <v>2</v>
      </c>
      <c r="E78">
        <v>2</v>
      </c>
      <c r="F78">
        <v>999</v>
      </c>
      <c r="G78" t="s">
        <v>22</v>
      </c>
      <c r="J78">
        <v>24480518</v>
      </c>
      <c r="K78" t="s">
        <v>75</v>
      </c>
      <c r="L78">
        <v>891201645</v>
      </c>
      <c r="M78" t="s">
        <v>47</v>
      </c>
      <c r="N78">
        <v>1050000</v>
      </c>
      <c r="O78">
        <v>0</v>
      </c>
      <c r="P78">
        <v>10500</v>
      </c>
      <c r="Q78" t="s">
        <v>120</v>
      </c>
      <c r="R78" t="s">
        <v>49</v>
      </c>
      <c r="S78">
        <v>2025</v>
      </c>
      <c r="T78">
        <v>41145258</v>
      </c>
      <c r="U78" t="s">
        <v>77</v>
      </c>
    </row>
    <row r="79" spans="1:21" x14ac:dyDescent="0.25">
      <c r="A79" t="s">
        <v>21</v>
      </c>
      <c r="B79">
        <v>3000075</v>
      </c>
      <c r="C79" s="1">
        <v>45714</v>
      </c>
      <c r="D79">
        <v>3</v>
      </c>
      <c r="E79">
        <v>3</v>
      </c>
      <c r="F79">
        <v>999</v>
      </c>
      <c r="G79" t="s">
        <v>22</v>
      </c>
      <c r="J79">
        <v>24480506</v>
      </c>
      <c r="K79" t="s">
        <v>28</v>
      </c>
      <c r="L79">
        <v>891200461</v>
      </c>
      <c r="M79" t="s">
        <v>29</v>
      </c>
      <c r="N79">
        <v>1800000</v>
      </c>
      <c r="O79">
        <v>0</v>
      </c>
      <c r="P79">
        <v>18000</v>
      </c>
      <c r="Q79" t="s">
        <v>664</v>
      </c>
      <c r="R79" t="s">
        <v>151</v>
      </c>
      <c r="S79">
        <v>2025</v>
      </c>
      <c r="T79">
        <v>69020504</v>
      </c>
      <c r="U79" t="s">
        <v>665</v>
      </c>
    </row>
    <row r="80" spans="1:21" x14ac:dyDescent="0.25">
      <c r="A80" t="s">
        <v>21</v>
      </c>
      <c r="B80">
        <v>5000014</v>
      </c>
      <c r="C80" s="1">
        <v>45715</v>
      </c>
      <c r="D80">
        <v>5</v>
      </c>
      <c r="E80">
        <v>5</v>
      </c>
      <c r="F80">
        <v>999</v>
      </c>
      <c r="G80" t="s">
        <v>22</v>
      </c>
      <c r="J80">
        <v>24480508</v>
      </c>
      <c r="K80" t="s">
        <v>23</v>
      </c>
      <c r="L80">
        <v>800102896</v>
      </c>
      <c r="M80" t="s">
        <v>24</v>
      </c>
      <c r="N80">
        <v>910000</v>
      </c>
      <c r="O80">
        <v>0</v>
      </c>
      <c r="P80">
        <v>9100</v>
      </c>
      <c r="Q80" t="s">
        <v>25</v>
      </c>
      <c r="R80" t="s">
        <v>26</v>
      </c>
      <c r="S80">
        <v>2025</v>
      </c>
      <c r="T80">
        <v>1123321998</v>
      </c>
      <c r="U80" t="s">
        <v>27</v>
      </c>
    </row>
    <row r="81" spans="1:21" x14ac:dyDescent="0.25">
      <c r="A81" t="s">
        <v>21</v>
      </c>
      <c r="B81">
        <v>1000376</v>
      </c>
      <c r="C81" s="1">
        <v>45715</v>
      </c>
      <c r="D81">
        <v>1</v>
      </c>
      <c r="E81">
        <v>4</v>
      </c>
      <c r="F81">
        <v>999</v>
      </c>
      <c r="G81" t="s">
        <v>22</v>
      </c>
      <c r="J81">
        <v>24480510</v>
      </c>
      <c r="K81" t="s">
        <v>66</v>
      </c>
      <c r="L81">
        <v>800102912</v>
      </c>
      <c r="M81" t="s">
        <v>57</v>
      </c>
      <c r="N81">
        <v>400000</v>
      </c>
      <c r="O81">
        <v>0</v>
      </c>
      <c r="P81">
        <v>2800</v>
      </c>
      <c r="Q81" t="s">
        <v>404</v>
      </c>
      <c r="R81" t="s">
        <v>31</v>
      </c>
      <c r="S81">
        <v>2025</v>
      </c>
      <c r="T81">
        <v>900620983</v>
      </c>
      <c r="U81" t="s">
        <v>68</v>
      </c>
    </row>
    <row r="82" spans="1:21" x14ac:dyDescent="0.25">
      <c r="A82" t="s">
        <v>21</v>
      </c>
      <c r="B82">
        <v>1000377</v>
      </c>
      <c r="C82" s="1">
        <v>45715</v>
      </c>
      <c r="D82">
        <v>1</v>
      </c>
      <c r="E82">
        <v>4</v>
      </c>
      <c r="F82">
        <v>999</v>
      </c>
      <c r="G82" t="s">
        <v>22</v>
      </c>
      <c r="J82">
        <v>24480510</v>
      </c>
      <c r="K82" t="s">
        <v>66</v>
      </c>
      <c r="L82">
        <v>800102912</v>
      </c>
      <c r="M82" t="s">
        <v>57</v>
      </c>
      <c r="N82">
        <v>376050</v>
      </c>
      <c r="O82">
        <v>0</v>
      </c>
      <c r="P82">
        <v>2632</v>
      </c>
      <c r="Q82" t="s">
        <v>542</v>
      </c>
      <c r="R82" t="s">
        <v>31</v>
      </c>
      <c r="S82">
        <v>2025</v>
      </c>
      <c r="T82">
        <v>900620983</v>
      </c>
      <c r="U82" t="s">
        <v>68</v>
      </c>
    </row>
    <row r="83" spans="1:21" x14ac:dyDescent="0.25">
      <c r="A83" t="s">
        <v>21</v>
      </c>
      <c r="B83">
        <v>1000383</v>
      </c>
      <c r="C83" s="1">
        <v>45715</v>
      </c>
      <c r="D83">
        <v>1</v>
      </c>
      <c r="E83">
        <v>1</v>
      </c>
      <c r="F83">
        <v>999</v>
      </c>
      <c r="G83" t="s">
        <v>22</v>
      </c>
      <c r="J83">
        <v>24480501</v>
      </c>
      <c r="K83" t="s">
        <v>35</v>
      </c>
      <c r="L83">
        <v>800102891</v>
      </c>
      <c r="M83" t="s">
        <v>36</v>
      </c>
      <c r="N83">
        <v>6594803</v>
      </c>
      <c r="O83">
        <v>0</v>
      </c>
      <c r="P83">
        <v>65948</v>
      </c>
      <c r="Q83" t="s">
        <v>615</v>
      </c>
      <c r="R83" t="s">
        <v>31</v>
      </c>
      <c r="S83">
        <v>2025</v>
      </c>
      <c r="T83">
        <v>18145427</v>
      </c>
      <c r="U83" t="s">
        <v>70</v>
      </c>
    </row>
    <row r="84" spans="1:21" x14ac:dyDescent="0.25">
      <c r="A84" t="s">
        <v>21</v>
      </c>
      <c r="B84">
        <v>7000017</v>
      </c>
      <c r="C84" s="1">
        <v>45715</v>
      </c>
      <c r="D84">
        <v>7</v>
      </c>
      <c r="E84">
        <v>7</v>
      </c>
      <c r="F84">
        <v>999</v>
      </c>
      <c r="G84" t="s">
        <v>22</v>
      </c>
      <c r="J84">
        <v>24480515</v>
      </c>
      <c r="K84" t="s">
        <v>52</v>
      </c>
      <c r="L84">
        <v>800252922</v>
      </c>
      <c r="M84" t="s">
        <v>53</v>
      </c>
      <c r="N84">
        <v>700000</v>
      </c>
      <c r="O84">
        <v>0</v>
      </c>
      <c r="P84">
        <v>4200</v>
      </c>
      <c r="Q84" t="s">
        <v>637</v>
      </c>
      <c r="R84" t="s">
        <v>64</v>
      </c>
      <c r="S84">
        <v>2025</v>
      </c>
      <c r="T84">
        <v>38196120</v>
      </c>
      <c r="U84" t="s">
        <v>638</v>
      </c>
    </row>
    <row r="85" spans="1:21" x14ac:dyDescent="0.25">
      <c r="A85" t="s">
        <v>21</v>
      </c>
      <c r="B85">
        <v>7000018</v>
      </c>
      <c r="C85" s="1">
        <v>45715</v>
      </c>
      <c r="D85">
        <v>7</v>
      </c>
      <c r="E85">
        <v>7</v>
      </c>
      <c r="F85">
        <v>999</v>
      </c>
      <c r="G85" t="s">
        <v>22</v>
      </c>
      <c r="J85">
        <v>24480515</v>
      </c>
      <c r="K85" t="s">
        <v>52</v>
      </c>
      <c r="L85">
        <v>800252922</v>
      </c>
      <c r="M85" t="s">
        <v>53</v>
      </c>
      <c r="N85">
        <v>200000</v>
      </c>
      <c r="O85">
        <v>0</v>
      </c>
      <c r="P85">
        <v>1000</v>
      </c>
      <c r="Q85" t="s">
        <v>640</v>
      </c>
      <c r="R85" t="s">
        <v>64</v>
      </c>
      <c r="S85">
        <v>2025</v>
      </c>
      <c r="T85">
        <v>15572024</v>
      </c>
      <c r="U85" t="s">
        <v>187</v>
      </c>
    </row>
    <row r="86" spans="1:21" x14ac:dyDescent="0.25">
      <c r="A86" t="s">
        <v>21</v>
      </c>
      <c r="B86">
        <v>1000379</v>
      </c>
      <c r="C86" s="1">
        <v>45715</v>
      </c>
      <c r="D86">
        <v>1</v>
      </c>
      <c r="E86">
        <v>7</v>
      </c>
      <c r="F86">
        <v>999</v>
      </c>
      <c r="G86" t="s">
        <v>22</v>
      </c>
      <c r="J86">
        <v>24480515</v>
      </c>
      <c r="K86" t="s">
        <v>52</v>
      </c>
      <c r="L86">
        <v>800252922</v>
      </c>
      <c r="M86" t="s">
        <v>53</v>
      </c>
      <c r="N86">
        <v>400000</v>
      </c>
      <c r="O86">
        <v>0</v>
      </c>
      <c r="P86">
        <v>3200</v>
      </c>
      <c r="Q86" t="s">
        <v>646</v>
      </c>
      <c r="R86" t="s">
        <v>31</v>
      </c>
      <c r="S86">
        <v>2025</v>
      </c>
      <c r="T86">
        <v>900620983</v>
      </c>
      <c r="U86" t="s">
        <v>68</v>
      </c>
    </row>
    <row r="87" spans="1:21" x14ac:dyDescent="0.25">
      <c r="A87" t="s">
        <v>21</v>
      </c>
      <c r="B87">
        <v>4000068</v>
      </c>
      <c r="C87" s="1">
        <v>45723</v>
      </c>
      <c r="D87">
        <v>4</v>
      </c>
      <c r="E87">
        <v>4</v>
      </c>
      <c r="F87">
        <v>999</v>
      </c>
      <c r="G87" t="s">
        <v>22</v>
      </c>
      <c r="J87">
        <v>24480510</v>
      </c>
      <c r="K87" t="s">
        <v>66</v>
      </c>
      <c r="L87">
        <v>800102912</v>
      </c>
      <c r="M87" t="s">
        <v>57</v>
      </c>
      <c r="N87">
        <v>220000</v>
      </c>
      <c r="O87">
        <v>0</v>
      </c>
      <c r="P87">
        <v>1540</v>
      </c>
      <c r="Q87" t="s">
        <v>498</v>
      </c>
      <c r="R87" t="s">
        <v>59</v>
      </c>
      <c r="S87">
        <v>2025</v>
      </c>
      <c r="T87">
        <v>1126452319</v>
      </c>
      <c r="U87" t="s">
        <v>499</v>
      </c>
    </row>
    <row r="88" spans="1:21" x14ac:dyDescent="0.25">
      <c r="A88" t="s">
        <v>21</v>
      </c>
      <c r="B88">
        <v>4000070</v>
      </c>
      <c r="C88" s="1">
        <v>45723</v>
      </c>
      <c r="D88">
        <v>4</v>
      </c>
      <c r="E88">
        <v>4</v>
      </c>
      <c r="F88">
        <v>999</v>
      </c>
      <c r="G88" t="s">
        <v>22</v>
      </c>
      <c r="J88">
        <v>24480509</v>
      </c>
      <c r="K88" t="s">
        <v>56</v>
      </c>
      <c r="L88">
        <v>800102912</v>
      </c>
      <c r="M88" t="s">
        <v>57</v>
      </c>
      <c r="N88">
        <v>382000</v>
      </c>
      <c r="O88">
        <v>0</v>
      </c>
      <c r="P88">
        <v>1719</v>
      </c>
      <c r="Q88" t="s">
        <v>579</v>
      </c>
      <c r="R88" t="s">
        <v>59</v>
      </c>
      <c r="S88">
        <v>2025</v>
      </c>
      <c r="T88">
        <v>98379749</v>
      </c>
      <c r="U88" t="s">
        <v>580</v>
      </c>
    </row>
    <row r="89" spans="1:21" x14ac:dyDescent="0.25">
      <c r="A89" t="s">
        <v>21</v>
      </c>
      <c r="B89">
        <v>1000491</v>
      </c>
      <c r="C89" s="1">
        <v>45728</v>
      </c>
      <c r="D89">
        <v>1</v>
      </c>
      <c r="E89">
        <v>2</v>
      </c>
      <c r="F89">
        <v>999</v>
      </c>
      <c r="G89" t="s">
        <v>22</v>
      </c>
      <c r="J89">
        <v>24480518</v>
      </c>
      <c r="K89" t="s">
        <v>75</v>
      </c>
      <c r="L89">
        <v>891201645</v>
      </c>
      <c r="M89" t="s">
        <v>47</v>
      </c>
      <c r="N89">
        <v>270000</v>
      </c>
      <c r="O89">
        <v>0</v>
      </c>
      <c r="P89">
        <v>2700</v>
      </c>
      <c r="Q89" t="s">
        <v>139</v>
      </c>
      <c r="R89" t="s">
        <v>31</v>
      </c>
      <c r="S89">
        <v>2025</v>
      </c>
      <c r="T89">
        <v>900437268</v>
      </c>
      <c r="U89" t="s">
        <v>39</v>
      </c>
    </row>
    <row r="90" spans="1:21" x14ac:dyDescent="0.25">
      <c r="A90" t="s">
        <v>21</v>
      </c>
      <c r="B90">
        <v>6000045</v>
      </c>
      <c r="C90" s="1">
        <v>45728</v>
      </c>
      <c r="D90">
        <v>6</v>
      </c>
      <c r="E90">
        <v>6</v>
      </c>
      <c r="F90">
        <v>999</v>
      </c>
      <c r="G90" t="s">
        <v>22</v>
      </c>
      <c r="J90">
        <v>24480512</v>
      </c>
      <c r="K90" t="s">
        <v>123</v>
      </c>
      <c r="L90">
        <v>891200513</v>
      </c>
      <c r="M90" t="s">
        <v>124</v>
      </c>
      <c r="N90">
        <v>1350000</v>
      </c>
      <c r="O90">
        <v>0</v>
      </c>
      <c r="P90">
        <v>6750</v>
      </c>
      <c r="Q90" t="s">
        <v>379</v>
      </c>
      <c r="R90" t="s">
        <v>126</v>
      </c>
      <c r="S90">
        <v>2025</v>
      </c>
      <c r="T90">
        <v>26636874</v>
      </c>
      <c r="U90" t="s">
        <v>127</v>
      </c>
    </row>
    <row r="91" spans="1:21" x14ac:dyDescent="0.25">
      <c r="A91" t="s">
        <v>21</v>
      </c>
      <c r="B91">
        <v>1000510</v>
      </c>
      <c r="C91" s="1">
        <v>45729</v>
      </c>
      <c r="D91">
        <v>1</v>
      </c>
      <c r="E91">
        <v>3</v>
      </c>
      <c r="F91">
        <v>999</v>
      </c>
      <c r="G91" t="s">
        <v>22</v>
      </c>
      <c r="J91">
        <v>24480506</v>
      </c>
      <c r="K91" t="s">
        <v>28</v>
      </c>
      <c r="L91">
        <v>891200461</v>
      </c>
      <c r="M91" t="s">
        <v>29</v>
      </c>
      <c r="N91">
        <v>0</v>
      </c>
      <c r="O91">
        <v>23512</v>
      </c>
      <c r="P91">
        <v>0</v>
      </c>
      <c r="Q91" t="s">
        <v>30</v>
      </c>
      <c r="R91" t="s">
        <v>31</v>
      </c>
      <c r="S91">
        <v>2025</v>
      </c>
      <c r="T91">
        <v>891200461</v>
      </c>
      <c r="U91" t="s">
        <v>29</v>
      </c>
    </row>
    <row r="92" spans="1:21" x14ac:dyDescent="0.25">
      <c r="A92" t="s">
        <v>21</v>
      </c>
      <c r="B92">
        <v>1000516</v>
      </c>
      <c r="C92" s="1">
        <v>45729</v>
      </c>
      <c r="D92">
        <v>1</v>
      </c>
      <c r="E92">
        <v>8</v>
      </c>
      <c r="F92">
        <v>999</v>
      </c>
      <c r="G92" t="s">
        <v>22</v>
      </c>
      <c r="J92">
        <v>24480519</v>
      </c>
      <c r="K92" t="s">
        <v>32</v>
      </c>
      <c r="L92">
        <v>800054249</v>
      </c>
      <c r="M92" t="s">
        <v>33</v>
      </c>
      <c r="N92">
        <v>0</v>
      </c>
      <c r="O92">
        <v>51518</v>
      </c>
      <c r="P92">
        <v>0</v>
      </c>
      <c r="Q92" t="s">
        <v>34</v>
      </c>
      <c r="R92" t="s">
        <v>31</v>
      </c>
      <c r="S92">
        <v>2025</v>
      </c>
      <c r="T92">
        <v>800054249</v>
      </c>
      <c r="U92" t="s">
        <v>33</v>
      </c>
    </row>
    <row r="93" spans="1:21" x14ac:dyDescent="0.25">
      <c r="A93" t="s">
        <v>21</v>
      </c>
      <c r="B93">
        <v>1000510</v>
      </c>
      <c r="C93" s="1">
        <v>45729</v>
      </c>
      <c r="D93">
        <v>1</v>
      </c>
      <c r="E93">
        <v>3</v>
      </c>
      <c r="F93">
        <v>999</v>
      </c>
      <c r="G93" t="s">
        <v>22</v>
      </c>
      <c r="J93">
        <v>24480505</v>
      </c>
      <c r="K93" t="s">
        <v>82</v>
      </c>
      <c r="L93">
        <v>891200461</v>
      </c>
      <c r="M93" t="s">
        <v>29</v>
      </c>
      <c r="N93">
        <v>0</v>
      </c>
      <c r="O93">
        <v>2829</v>
      </c>
      <c r="P93">
        <v>0</v>
      </c>
      <c r="Q93" t="s">
        <v>30</v>
      </c>
      <c r="R93" t="s">
        <v>31</v>
      </c>
      <c r="S93">
        <v>2025</v>
      </c>
      <c r="T93">
        <v>891200461</v>
      </c>
      <c r="U93" t="s">
        <v>29</v>
      </c>
    </row>
    <row r="94" spans="1:21" x14ac:dyDescent="0.25">
      <c r="A94" t="s">
        <v>21</v>
      </c>
      <c r="B94">
        <v>1000512</v>
      </c>
      <c r="C94" s="1">
        <v>45729</v>
      </c>
      <c r="D94">
        <v>1</v>
      </c>
      <c r="E94">
        <v>5</v>
      </c>
      <c r="F94">
        <v>999</v>
      </c>
      <c r="G94" t="s">
        <v>22</v>
      </c>
      <c r="J94">
        <v>24480508</v>
      </c>
      <c r="K94" t="s">
        <v>23</v>
      </c>
      <c r="L94">
        <v>800102896</v>
      </c>
      <c r="M94" t="s">
        <v>24</v>
      </c>
      <c r="N94">
        <v>0</v>
      </c>
      <c r="O94">
        <v>9100</v>
      </c>
      <c r="P94">
        <v>0</v>
      </c>
      <c r="Q94" t="s">
        <v>121</v>
      </c>
      <c r="R94" t="s">
        <v>31</v>
      </c>
      <c r="S94">
        <v>2025</v>
      </c>
      <c r="T94">
        <v>800102896</v>
      </c>
      <c r="U94" t="s">
        <v>24</v>
      </c>
    </row>
    <row r="95" spans="1:21" x14ac:dyDescent="0.25">
      <c r="A95" t="s">
        <v>21</v>
      </c>
      <c r="B95">
        <v>1000509</v>
      </c>
      <c r="C95" s="1">
        <v>45729</v>
      </c>
      <c r="D95">
        <v>1</v>
      </c>
      <c r="E95">
        <v>2</v>
      </c>
      <c r="F95">
        <v>999</v>
      </c>
      <c r="G95" t="s">
        <v>22</v>
      </c>
      <c r="J95">
        <v>24480517</v>
      </c>
      <c r="K95" t="s">
        <v>46</v>
      </c>
      <c r="L95">
        <v>891201645</v>
      </c>
      <c r="M95" t="s">
        <v>47</v>
      </c>
      <c r="N95">
        <v>0</v>
      </c>
      <c r="O95">
        <v>7426</v>
      </c>
      <c r="P95">
        <v>0</v>
      </c>
      <c r="Q95" t="s">
        <v>138</v>
      </c>
      <c r="R95" t="s">
        <v>31</v>
      </c>
      <c r="S95">
        <v>2025</v>
      </c>
      <c r="T95">
        <v>891201645</v>
      </c>
      <c r="U95" t="s">
        <v>47</v>
      </c>
    </row>
    <row r="96" spans="1:21" x14ac:dyDescent="0.25">
      <c r="A96" t="s">
        <v>21</v>
      </c>
      <c r="B96">
        <v>1000509</v>
      </c>
      <c r="C96" s="1">
        <v>45729</v>
      </c>
      <c r="D96">
        <v>1</v>
      </c>
      <c r="E96">
        <v>2</v>
      </c>
      <c r="F96">
        <v>999</v>
      </c>
      <c r="G96" t="s">
        <v>22</v>
      </c>
      <c r="J96">
        <v>24480518</v>
      </c>
      <c r="K96" t="s">
        <v>75</v>
      </c>
      <c r="L96">
        <v>891201645</v>
      </c>
      <c r="M96" t="s">
        <v>47</v>
      </c>
      <c r="N96">
        <v>0</v>
      </c>
      <c r="O96">
        <v>13200</v>
      </c>
      <c r="P96">
        <v>0</v>
      </c>
      <c r="Q96" t="s">
        <v>138</v>
      </c>
      <c r="R96" t="s">
        <v>31</v>
      </c>
      <c r="S96">
        <v>2025</v>
      </c>
      <c r="T96">
        <v>891201645</v>
      </c>
      <c r="U96" t="s">
        <v>47</v>
      </c>
    </row>
    <row r="97" spans="1:21" x14ac:dyDescent="0.25">
      <c r="A97" t="s">
        <v>21</v>
      </c>
      <c r="B97">
        <v>1000507</v>
      </c>
      <c r="C97" s="1">
        <v>45729</v>
      </c>
      <c r="D97">
        <v>1</v>
      </c>
      <c r="E97">
        <v>1</v>
      </c>
      <c r="F97">
        <v>999</v>
      </c>
      <c r="G97" t="s">
        <v>22</v>
      </c>
      <c r="J97">
        <v>24480502</v>
      </c>
      <c r="K97" t="s">
        <v>106</v>
      </c>
      <c r="L97">
        <v>800102891</v>
      </c>
      <c r="M97" t="s">
        <v>36</v>
      </c>
      <c r="N97">
        <v>0</v>
      </c>
      <c r="O97">
        <v>12570</v>
      </c>
      <c r="P97">
        <v>0</v>
      </c>
      <c r="Q97" t="s">
        <v>260</v>
      </c>
      <c r="R97" t="s">
        <v>31</v>
      </c>
      <c r="S97">
        <v>2025</v>
      </c>
      <c r="T97">
        <v>800102891</v>
      </c>
      <c r="U97" t="s">
        <v>36</v>
      </c>
    </row>
    <row r="98" spans="1:21" x14ac:dyDescent="0.25">
      <c r="A98" t="s">
        <v>21</v>
      </c>
      <c r="B98">
        <v>1000507</v>
      </c>
      <c r="C98" s="1">
        <v>45729</v>
      </c>
      <c r="D98">
        <v>1</v>
      </c>
      <c r="E98">
        <v>1</v>
      </c>
      <c r="F98">
        <v>999</v>
      </c>
      <c r="G98" t="s">
        <v>22</v>
      </c>
      <c r="J98">
        <v>24480501</v>
      </c>
      <c r="K98" t="s">
        <v>35</v>
      </c>
      <c r="L98">
        <v>800102891</v>
      </c>
      <c r="M98" t="s">
        <v>36</v>
      </c>
      <c r="N98">
        <v>0</v>
      </c>
      <c r="O98">
        <v>97718</v>
      </c>
      <c r="P98">
        <v>0</v>
      </c>
      <c r="Q98" t="s">
        <v>260</v>
      </c>
      <c r="R98" t="s">
        <v>31</v>
      </c>
      <c r="S98">
        <v>2025</v>
      </c>
      <c r="T98">
        <v>800102891</v>
      </c>
      <c r="U98" t="s">
        <v>36</v>
      </c>
    </row>
    <row r="99" spans="1:21" x14ac:dyDescent="0.25">
      <c r="A99" t="s">
        <v>21</v>
      </c>
      <c r="B99">
        <v>1000511</v>
      </c>
      <c r="C99" s="1">
        <v>45729</v>
      </c>
      <c r="D99">
        <v>1</v>
      </c>
      <c r="E99">
        <v>4</v>
      </c>
      <c r="F99">
        <v>999</v>
      </c>
      <c r="G99" t="s">
        <v>22</v>
      </c>
      <c r="J99">
        <v>24480510</v>
      </c>
      <c r="K99" t="s">
        <v>66</v>
      </c>
      <c r="L99">
        <v>800102912</v>
      </c>
      <c r="M99" t="s">
        <v>57</v>
      </c>
      <c r="N99">
        <v>0</v>
      </c>
      <c r="O99">
        <v>18564</v>
      </c>
      <c r="P99">
        <v>0</v>
      </c>
      <c r="Q99" t="s">
        <v>367</v>
      </c>
      <c r="R99" t="s">
        <v>31</v>
      </c>
      <c r="S99">
        <v>2025</v>
      </c>
      <c r="T99">
        <v>800102912</v>
      </c>
      <c r="U99" t="s">
        <v>57</v>
      </c>
    </row>
    <row r="100" spans="1:21" x14ac:dyDescent="0.25">
      <c r="A100" t="s">
        <v>21</v>
      </c>
      <c r="B100">
        <v>3000110</v>
      </c>
      <c r="C100" s="1">
        <v>45729</v>
      </c>
      <c r="D100">
        <v>3</v>
      </c>
      <c r="E100">
        <v>3</v>
      </c>
      <c r="F100">
        <v>999</v>
      </c>
      <c r="G100" t="s">
        <v>22</v>
      </c>
      <c r="J100">
        <v>24480506</v>
      </c>
      <c r="K100" t="s">
        <v>28</v>
      </c>
      <c r="L100">
        <v>891200461</v>
      </c>
      <c r="M100" t="s">
        <v>29</v>
      </c>
      <c r="N100">
        <v>320000</v>
      </c>
      <c r="O100">
        <v>0</v>
      </c>
      <c r="P100">
        <v>2560</v>
      </c>
      <c r="Q100" t="s">
        <v>439</v>
      </c>
      <c r="R100" t="s">
        <v>440</v>
      </c>
      <c r="S100">
        <v>2025</v>
      </c>
      <c r="T100">
        <v>846002782</v>
      </c>
      <c r="U100" t="s">
        <v>441</v>
      </c>
    </row>
    <row r="101" spans="1:21" x14ac:dyDescent="0.25">
      <c r="A101" t="s">
        <v>21</v>
      </c>
      <c r="B101">
        <v>1000515</v>
      </c>
      <c r="C101" s="1">
        <v>45729</v>
      </c>
      <c r="D101">
        <v>1</v>
      </c>
      <c r="E101">
        <v>7</v>
      </c>
      <c r="F101">
        <v>999</v>
      </c>
      <c r="G101" t="s">
        <v>22</v>
      </c>
      <c r="J101">
        <v>24480515</v>
      </c>
      <c r="K101" t="s">
        <v>52</v>
      </c>
      <c r="L101">
        <v>800252922</v>
      </c>
      <c r="M101" t="s">
        <v>53</v>
      </c>
      <c r="N101">
        <v>0</v>
      </c>
      <c r="O101">
        <v>14640</v>
      </c>
      <c r="P101">
        <v>0</v>
      </c>
      <c r="Q101" t="s">
        <v>501</v>
      </c>
      <c r="R101" t="s">
        <v>31</v>
      </c>
      <c r="S101">
        <v>2025</v>
      </c>
      <c r="T101">
        <v>800252922</v>
      </c>
      <c r="U101" t="s">
        <v>53</v>
      </c>
    </row>
    <row r="102" spans="1:21" x14ac:dyDescent="0.25">
      <c r="A102" t="s">
        <v>21</v>
      </c>
      <c r="B102">
        <v>1000505</v>
      </c>
      <c r="C102" s="1">
        <v>45729</v>
      </c>
      <c r="D102">
        <v>1</v>
      </c>
      <c r="E102">
        <v>1</v>
      </c>
      <c r="F102">
        <v>999</v>
      </c>
      <c r="G102" t="s">
        <v>22</v>
      </c>
      <c r="J102">
        <v>24480502</v>
      </c>
      <c r="K102" t="s">
        <v>106</v>
      </c>
      <c r="L102">
        <v>800102891</v>
      </c>
      <c r="M102" t="s">
        <v>36</v>
      </c>
      <c r="N102">
        <v>865700</v>
      </c>
      <c r="O102">
        <v>0</v>
      </c>
      <c r="P102">
        <v>5194</v>
      </c>
      <c r="Q102" t="s">
        <v>509</v>
      </c>
      <c r="R102" t="s">
        <v>31</v>
      </c>
      <c r="S102">
        <v>2025</v>
      </c>
      <c r="T102">
        <v>1124850208</v>
      </c>
      <c r="U102" t="s">
        <v>159</v>
      </c>
    </row>
    <row r="103" spans="1:21" x14ac:dyDescent="0.25">
      <c r="A103" t="s">
        <v>21</v>
      </c>
      <c r="B103">
        <v>1000513</v>
      </c>
      <c r="C103" s="1">
        <v>45729</v>
      </c>
      <c r="D103">
        <v>1</v>
      </c>
      <c r="E103">
        <v>6</v>
      </c>
      <c r="F103">
        <v>999</v>
      </c>
      <c r="G103" t="s">
        <v>22</v>
      </c>
      <c r="J103">
        <v>24480512</v>
      </c>
      <c r="K103" t="s">
        <v>123</v>
      </c>
      <c r="L103">
        <v>891200513</v>
      </c>
      <c r="M103" t="s">
        <v>124</v>
      </c>
      <c r="N103">
        <v>0</v>
      </c>
      <c r="O103">
        <v>6750</v>
      </c>
      <c r="P103">
        <v>0</v>
      </c>
      <c r="Q103" t="s">
        <v>583</v>
      </c>
      <c r="R103" t="s">
        <v>31</v>
      </c>
      <c r="S103">
        <v>2025</v>
      </c>
      <c r="T103">
        <v>891200513</v>
      </c>
      <c r="U103" t="s">
        <v>124</v>
      </c>
    </row>
    <row r="104" spans="1:21" x14ac:dyDescent="0.25">
      <c r="A104" t="s">
        <v>21</v>
      </c>
      <c r="B104">
        <v>2000058</v>
      </c>
      <c r="C104" s="1">
        <v>45729</v>
      </c>
      <c r="D104">
        <v>2</v>
      </c>
      <c r="E104">
        <v>2</v>
      </c>
      <c r="F104">
        <v>999</v>
      </c>
      <c r="G104" t="s">
        <v>22</v>
      </c>
      <c r="J104">
        <v>24480517</v>
      </c>
      <c r="K104" t="s">
        <v>46</v>
      </c>
      <c r="L104">
        <v>891201645</v>
      </c>
      <c r="M104" t="s">
        <v>47</v>
      </c>
      <c r="N104">
        <v>150000</v>
      </c>
      <c r="O104">
        <v>0</v>
      </c>
      <c r="P104">
        <v>1500</v>
      </c>
      <c r="Q104" t="s">
        <v>596</v>
      </c>
      <c r="R104" t="s">
        <v>49</v>
      </c>
      <c r="S104">
        <v>2025</v>
      </c>
      <c r="T104">
        <v>97472407</v>
      </c>
      <c r="U104" t="s">
        <v>597</v>
      </c>
    </row>
    <row r="105" spans="1:21" x14ac:dyDescent="0.25">
      <c r="A105" t="s">
        <v>21</v>
      </c>
      <c r="B105">
        <v>7000027</v>
      </c>
      <c r="C105" s="1">
        <v>45730</v>
      </c>
      <c r="D105">
        <v>7</v>
      </c>
      <c r="E105">
        <v>7</v>
      </c>
      <c r="F105">
        <v>999</v>
      </c>
      <c r="G105" t="s">
        <v>22</v>
      </c>
      <c r="J105">
        <v>24480516</v>
      </c>
      <c r="K105" t="s">
        <v>79</v>
      </c>
      <c r="L105">
        <v>800252922</v>
      </c>
      <c r="M105" t="s">
        <v>53</v>
      </c>
      <c r="N105">
        <v>665500</v>
      </c>
      <c r="O105">
        <v>0</v>
      </c>
      <c r="P105">
        <v>3327</v>
      </c>
      <c r="Q105" t="s">
        <v>349</v>
      </c>
      <c r="R105" t="s">
        <v>64</v>
      </c>
      <c r="S105">
        <v>2025</v>
      </c>
      <c r="T105">
        <v>1061727860</v>
      </c>
      <c r="U105" t="s">
        <v>350</v>
      </c>
    </row>
    <row r="106" spans="1:21" x14ac:dyDescent="0.25">
      <c r="A106" t="s">
        <v>21</v>
      </c>
      <c r="B106">
        <v>7000026</v>
      </c>
      <c r="C106" s="1">
        <v>45730</v>
      </c>
      <c r="D106">
        <v>7</v>
      </c>
      <c r="E106">
        <v>7</v>
      </c>
      <c r="F106">
        <v>999</v>
      </c>
      <c r="G106" t="s">
        <v>22</v>
      </c>
      <c r="J106">
        <v>24480515</v>
      </c>
      <c r="K106" t="s">
        <v>52</v>
      </c>
      <c r="L106">
        <v>800252922</v>
      </c>
      <c r="M106" t="s">
        <v>53</v>
      </c>
      <c r="N106">
        <v>380000</v>
      </c>
      <c r="O106">
        <v>0</v>
      </c>
      <c r="P106">
        <v>1900</v>
      </c>
      <c r="Q106" t="s">
        <v>392</v>
      </c>
      <c r="R106" t="s">
        <v>64</v>
      </c>
      <c r="S106">
        <v>2025</v>
      </c>
      <c r="T106">
        <v>1061727860</v>
      </c>
      <c r="U106" t="s">
        <v>350</v>
      </c>
    </row>
    <row r="107" spans="1:21" x14ac:dyDescent="0.25">
      <c r="A107" t="s">
        <v>21</v>
      </c>
      <c r="B107">
        <v>2000059</v>
      </c>
      <c r="C107" s="1">
        <v>45730</v>
      </c>
      <c r="D107">
        <v>2</v>
      </c>
      <c r="E107">
        <v>2</v>
      </c>
      <c r="F107">
        <v>999</v>
      </c>
      <c r="G107" t="s">
        <v>22</v>
      </c>
      <c r="J107">
        <v>24480518</v>
      </c>
      <c r="K107" t="s">
        <v>75</v>
      </c>
      <c r="L107">
        <v>891201645</v>
      </c>
      <c r="M107" t="s">
        <v>47</v>
      </c>
      <c r="N107">
        <v>420000</v>
      </c>
      <c r="O107">
        <v>0</v>
      </c>
      <c r="P107">
        <v>4200</v>
      </c>
      <c r="Q107" t="s">
        <v>442</v>
      </c>
      <c r="R107" t="s">
        <v>49</v>
      </c>
      <c r="S107">
        <v>2025</v>
      </c>
      <c r="T107">
        <v>12748219</v>
      </c>
      <c r="U107" t="s">
        <v>443</v>
      </c>
    </row>
    <row r="108" spans="1:21" x14ac:dyDescent="0.25">
      <c r="A108" t="s">
        <v>21</v>
      </c>
      <c r="B108">
        <v>2000060</v>
      </c>
      <c r="C108" s="1">
        <v>45733</v>
      </c>
      <c r="D108">
        <v>2</v>
      </c>
      <c r="E108">
        <v>2</v>
      </c>
      <c r="F108">
        <v>999</v>
      </c>
      <c r="G108" t="s">
        <v>22</v>
      </c>
      <c r="J108">
        <v>24480518</v>
      </c>
      <c r="K108" t="s">
        <v>75</v>
      </c>
      <c r="L108">
        <v>891201645</v>
      </c>
      <c r="M108" t="s">
        <v>47</v>
      </c>
      <c r="N108">
        <v>195000</v>
      </c>
      <c r="O108">
        <v>0</v>
      </c>
      <c r="P108">
        <v>1950</v>
      </c>
      <c r="Q108" t="s">
        <v>520</v>
      </c>
      <c r="R108" t="s">
        <v>49</v>
      </c>
      <c r="S108">
        <v>2025</v>
      </c>
      <c r="T108">
        <v>1122782361</v>
      </c>
      <c r="U108" t="s">
        <v>198</v>
      </c>
    </row>
    <row r="109" spans="1:21" x14ac:dyDescent="0.25">
      <c r="A109" t="s">
        <v>21</v>
      </c>
      <c r="B109">
        <v>1000546</v>
      </c>
      <c r="C109" s="1">
        <v>45734</v>
      </c>
      <c r="D109">
        <v>1</v>
      </c>
      <c r="E109">
        <v>8</v>
      </c>
      <c r="F109">
        <v>999</v>
      </c>
      <c r="G109" t="s">
        <v>22</v>
      </c>
      <c r="J109">
        <v>24480519</v>
      </c>
      <c r="K109" t="s">
        <v>32</v>
      </c>
      <c r="L109">
        <v>800054249</v>
      </c>
      <c r="M109" t="s">
        <v>33</v>
      </c>
      <c r="N109">
        <v>0</v>
      </c>
      <c r="O109">
        <v>0</v>
      </c>
      <c r="P109">
        <v>51518</v>
      </c>
      <c r="Q109" t="s">
        <v>324</v>
      </c>
      <c r="R109" t="s">
        <v>31</v>
      </c>
      <c r="S109">
        <v>2025</v>
      </c>
      <c r="T109">
        <v>900579315</v>
      </c>
      <c r="U109" t="s">
        <v>44</v>
      </c>
    </row>
    <row r="110" spans="1:21" x14ac:dyDescent="0.25">
      <c r="A110" t="s">
        <v>21</v>
      </c>
      <c r="B110">
        <v>7000028</v>
      </c>
      <c r="C110" s="1">
        <v>45735</v>
      </c>
      <c r="D110">
        <v>7</v>
      </c>
      <c r="E110">
        <v>7</v>
      </c>
      <c r="F110">
        <v>999</v>
      </c>
      <c r="G110" t="s">
        <v>22</v>
      </c>
      <c r="J110">
        <v>24480515</v>
      </c>
      <c r="K110" t="s">
        <v>52</v>
      </c>
      <c r="L110">
        <v>800252922</v>
      </c>
      <c r="M110" t="s">
        <v>53</v>
      </c>
      <c r="N110">
        <v>880000</v>
      </c>
      <c r="O110">
        <v>0</v>
      </c>
      <c r="P110">
        <v>4400</v>
      </c>
      <c r="Q110" t="s">
        <v>502</v>
      </c>
      <c r="R110" t="s">
        <v>64</v>
      </c>
      <c r="S110">
        <v>2025</v>
      </c>
      <c r="T110">
        <v>1061727860</v>
      </c>
      <c r="U110" t="s">
        <v>350</v>
      </c>
    </row>
    <row r="111" spans="1:21" x14ac:dyDescent="0.25">
      <c r="A111" t="s">
        <v>93</v>
      </c>
      <c r="B111">
        <v>4000575</v>
      </c>
      <c r="C111" s="1">
        <v>45736</v>
      </c>
      <c r="D111">
        <v>4</v>
      </c>
      <c r="E111">
        <v>4</v>
      </c>
      <c r="F111">
        <v>999</v>
      </c>
      <c r="G111" t="s">
        <v>22</v>
      </c>
      <c r="J111">
        <v>24480510</v>
      </c>
      <c r="K111" t="s">
        <v>66</v>
      </c>
      <c r="L111">
        <v>800102912</v>
      </c>
      <c r="M111" t="s">
        <v>57</v>
      </c>
      <c r="N111">
        <v>350000</v>
      </c>
      <c r="O111">
        <v>0</v>
      </c>
      <c r="P111">
        <v>2100</v>
      </c>
      <c r="Q111" t="s">
        <v>641</v>
      </c>
      <c r="R111" t="s">
        <v>59</v>
      </c>
      <c r="S111">
        <v>2025</v>
      </c>
      <c r="T111">
        <v>18153926</v>
      </c>
      <c r="U111" t="s">
        <v>104</v>
      </c>
    </row>
    <row r="112" spans="1:21" x14ac:dyDescent="0.25">
      <c r="A112" t="s">
        <v>21</v>
      </c>
      <c r="B112">
        <v>7000032</v>
      </c>
      <c r="C112" s="1">
        <v>45742</v>
      </c>
      <c r="D112">
        <v>7</v>
      </c>
      <c r="E112">
        <v>7</v>
      </c>
      <c r="F112">
        <v>999</v>
      </c>
      <c r="G112" t="s">
        <v>22</v>
      </c>
      <c r="J112">
        <v>24480515</v>
      </c>
      <c r="K112" t="s">
        <v>52</v>
      </c>
      <c r="L112">
        <v>800252922</v>
      </c>
      <c r="M112" t="s">
        <v>53</v>
      </c>
      <c r="N112">
        <v>577800</v>
      </c>
      <c r="O112">
        <v>0</v>
      </c>
      <c r="P112">
        <v>2889</v>
      </c>
      <c r="Q112" t="s">
        <v>563</v>
      </c>
      <c r="R112" t="s">
        <v>64</v>
      </c>
      <c r="S112">
        <v>2025</v>
      </c>
      <c r="T112">
        <v>1143984736</v>
      </c>
      <c r="U112" t="s">
        <v>564</v>
      </c>
    </row>
    <row r="113" spans="1:21" x14ac:dyDescent="0.25">
      <c r="A113" t="s">
        <v>21</v>
      </c>
      <c r="B113">
        <v>2000072</v>
      </c>
      <c r="C113" s="1">
        <v>45743</v>
      </c>
      <c r="D113">
        <v>2</v>
      </c>
      <c r="E113">
        <v>2</v>
      </c>
      <c r="F113">
        <v>999</v>
      </c>
      <c r="G113" t="s">
        <v>22</v>
      </c>
      <c r="J113">
        <v>24480518</v>
      </c>
      <c r="K113" t="s">
        <v>75</v>
      </c>
      <c r="L113">
        <v>891201645</v>
      </c>
      <c r="M113" t="s">
        <v>47</v>
      </c>
      <c r="N113">
        <v>170000</v>
      </c>
      <c r="O113">
        <v>0</v>
      </c>
      <c r="P113">
        <v>1700</v>
      </c>
      <c r="Q113" t="s">
        <v>98</v>
      </c>
      <c r="R113" t="s">
        <v>49</v>
      </c>
      <c r="S113">
        <v>2025</v>
      </c>
      <c r="T113">
        <v>97471404</v>
      </c>
      <c r="U113" t="s">
        <v>99</v>
      </c>
    </row>
    <row r="114" spans="1:21" x14ac:dyDescent="0.25">
      <c r="A114" t="s">
        <v>21</v>
      </c>
      <c r="B114">
        <v>1000585</v>
      </c>
      <c r="C114" s="1">
        <v>45744</v>
      </c>
      <c r="D114">
        <v>1</v>
      </c>
      <c r="E114">
        <v>1</v>
      </c>
      <c r="F114">
        <v>999</v>
      </c>
      <c r="G114" t="s">
        <v>22</v>
      </c>
      <c r="J114">
        <v>24480501</v>
      </c>
      <c r="K114" t="s">
        <v>35</v>
      </c>
      <c r="L114">
        <v>800102891</v>
      </c>
      <c r="M114" t="s">
        <v>36</v>
      </c>
      <c r="N114">
        <v>720000</v>
      </c>
      <c r="O114">
        <v>0</v>
      </c>
      <c r="P114">
        <v>7200</v>
      </c>
      <c r="Q114" t="s">
        <v>109</v>
      </c>
      <c r="R114" t="s">
        <v>31</v>
      </c>
      <c r="S114">
        <v>2025</v>
      </c>
      <c r="T114">
        <v>1010081868</v>
      </c>
      <c r="U114" t="s">
        <v>110</v>
      </c>
    </row>
    <row r="115" spans="1:21" x14ac:dyDescent="0.25">
      <c r="A115" t="s">
        <v>21</v>
      </c>
      <c r="B115">
        <v>1000596</v>
      </c>
      <c r="C115" s="1">
        <v>45744</v>
      </c>
      <c r="D115">
        <v>1</v>
      </c>
      <c r="E115">
        <v>1</v>
      </c>
      <c r="F115">
        <v>999</v>
      </c>
      <c r="G115" t="s">
        <v>22</v>
      </c>
      <c r="J115">
        <v>24480501</v>
      </c>
      <c r="K115" t="s">
        <v>35</v>
      </c>
      <c r="L115">
        <v>800102891</v>
      </c>
      <c r="M115" t="s">
        <v>36</v>
      </c>
      <c r="N115">
        <v>1571000</v>
      </c>
      <c r="O115">
        <v>0</v>
      </c>
      <c r="P115">
        <v>15710</v>
      </c>
      <c r="Q115" t="s">
        <v>475</v>
      </c>
      <c r="R115" t="s">
        <v>31</v>
      </c>
      <c r="S115">
        <v>2025</v>
      </c>
      <c r="T115">
        <v>1126003236</v>
      </c>
      <c r="U115" t="s">
        <v>169</v>
      </c>
    </row>
    <row r="116" spans="1:21" x14ac:dyDescent="0.25">
      <c r="A116" t="s">
        <v>21</v>
      </c>
      <c r="B116">
        <v>1000584</v>
      </c>
      <c r="C116" s="1">
        <v>45744</v>
      </c>
      <c r="D116">
        <v>1</v>
      </c>
      <c r="E116">
        <v>1</v>
      </c>
      <c r="F116">
        <v>999</v>
      </c>
      <c r="G116" t="s">
        <v>22</v>
      </c>
      <c r="J116">
        <v>24480501</v>
      </c>
      <c r="K116" t="s">
        <v>35</v>
      </c>
      <c r="L116">
        <v>800102891</v>
      </c>
      <c r="M116" t="s">
        <v>36</v>
      </c>
      <c r="N116">
        <v>6594803</v>
      </c>
      <c r="O116">
        <v>0</v>
      </c>
      <c r="P116">
        <v>65948</v>
      </c>
      <c r="Q116" t="s">
        <v>648</v>
      </c>
      <c r="R116" t="s">
        <v>31</v>
      </c>
      <c r="S116">
        <v>2025</v>
      </c>
      <c r="T116">
        <v>18145427</v>
      </c>
      <c r="U116" t="s">
        <v>70</v>
      </c>
    </row>
    <row r="117" spans="1:21" x14ac:dyDescent="0.25">
      <c r="A117" t="s">
        <v>93</v>
      </c>
      <c r="B117">
        <v>4000701</v>
      </c>
      <c r="C117" s="1">
        <v>45747</v>
      </c>
      <c r="D117">
        <v>4</v>
      </c>
      <c r="E117">
        <v>4</v>
      </c>
      <c r="F117">
        <v>999</v>
      </c>
      <c r="G117" t="s">
        <v>22</v>
      </c>
      <c r="J117">
        <v>24480509</v>
      </c>
      <c r="K117" t="s">
        <v>56</v>
      </c>
      <c r="L117">
        <v>800102912</v>
      </c>
      <c r="M117" t="s">
        <v>57</v>
      </c>
      <c r="N117">
        <v>255500</v>
      </c>
      <c r="O117">
        <v>0</v>
      </c>
      <c r="P117">
        <v>1150</v>
      </c>
      <c r="Q117" t="s">
        <v>176</v>
      </c>
      <c r="R117" t="s">
        <v>59</v>
      </c>
      <c r="S117">
        <v>2025</v>
      </c>
      <c r="T117">
        <v>1123320083</v>
      </c>
      <c r="U117" t="s">
        <v>95</v>
      </c>
    </row>
    <row r="118" spans="1:21" x14ac:dyDescent="0.25">
      <c r="A118" t="s">
        <v>21</v>
      </c>
      <c r="B118">
        <v>1000607</v>
      </c>
      <c r="C118" s="1">
        <v>45747</v>
      </c>
      <c r="D118">
        <v>1</v>
      </c>
      <c r="E118">
        <v>1</v>
      </c>
      <c r="F118">
        <v>999</v>
      </c>
      <c r="G118" t="s">
        <v>22</v>
      </c>
      <c r="J118">
        <v>24480501</v>
      </c>
      <c r="K118" t="s">
        <v>35</v>
      </c>
      <c r="L118">
        <v>800102891</v>
      </c>
      <c r="M118" t="s">
        <v>36</v>
      </c>
      <c r="N118">
        <v>629000</v>
      </c>
      <c r="O118">
        <v>0</v>
      </c>
      <c r="P118">
        <v>6290</v>
      </c>
      <c r="Q118" t="s">
        <v>232</v>
      </c>
      <c r="R118" t="s">
        <v>31</v>
      </c>
      <c r="S118">
        <v>2025</v>
      </c>
      <c r="T118">
        <v>1124853065</v>
      </c>
      <c r="U118" t="s">
        <v>233</v>
      </c>
    </row>
    <row r="119" spans="1:21" x14ac:dyDescent="0.25">
      <c r="A119" t="s">
        <v>21</v>
      </c>
      <c r="B119">
        <v>1000607</v>
      </c>
      <c r="C119" s="1">
        <v>45747</v>
      </c>
      <c r="D119">
        <v>1</v>
      </c>
      <c r="E119">
        <v>1</v>
      </c>
      <c r="F119">
        <v>999</v>
      </c>
      <c r="G119" t="s">
        <v>22</v>
      </c>
      <c r="J119">
        <v>24480501</v>
      </c>
      <c r="K119" t="s">
        <v>35</v>
      </c>
      <c r="L119">
        <v>800102891</v>
      </c>
      <c r="M119" t="s">
        <v>36</v>
      </c>
      <c r="N119">
        <v>650000</v>
      </c>
      <c r="O119">
        <v>0</v>
      </c>
      <c r="P119">
        <v>6500</v>
      </c>
      <c r="Q119" t="s">
        <v>232</v>
      </c>
      <c r="R119" t="s">
        <v>31</v>
      </c>
      <c r="S119">
        <v>2025</v>
      </c>
      <c r="T119">
        <v>93407539</v>
      </c>
      <c r="U119" t="s">
        <v>348</v>
      </c>
    </row>
    <row r="120" spans="1:21" x14ac:dyDescent="0.25">
      <c r="A120" t="s">
        <v>21</v>
      </c>
      <c r="B120">
        <v>1000607</v>
      </c>
      <c r="C120" s="1">
        <v>45747</v>
      </c>
      <c r="D120">
        <v>1</v>
      </c>
      <c r="E120">
        <v>1</v>
      </c>
      <c r="F120">
        <v>999</v>
      </c>
      <c r="G120" t="s">
        <v>22</v>
      </c>
      <c r="J120">
        <v>24480501</v>
      </c>
      <c r="K120" t="s">
        <v>35</v>
      </c>
      <c r="L120">
        <v>800102891</v>
      </c>
      <c r="M120" t="s">
        <v>36</v>
      </c>
      <c r="N120">
        <v>650000</v>
      </c>
      <c r="O120">
        <v>0</v>
      </c>
      <c r="P120">
        <v>6500</v>
      </c>
      <c r="Q120" t="s">
        <v>232</v>
      </c>
      <c r="R120" t="s">
        <v>31</v>
      </c>
      <c r="S120">
        <v>2025</v>
      </c>
      <c r="T120">
        <v>18126274</v>
      </c>
      <c r="U120" t="s">
        <v>617</v>
      </c>
    </row>
    <row r="121" spans="1:21" x14ac:dyDescent="0.25">
      <c r="A121" t="s">
        <v>21</v>
      </c>
      <c r="B121">
        <v>1000619</v>
      </c>
      <c r="C121" s="1">
        <v>45748</v>
      </c>
      <c r="D121">
        <v>1</v>
      </c>
      <c r="E121">
        <v>1</v>
      </c>
      <c r="F121">
        <v>999</v>
      </c>
      <c r="G121" t="s">
        <v>22</v>
      </c>
      <c r="J121">
        <v>24480501</v>
      </c>
      <c r="K121" t="s">
        <v>35</v>
      </c>
      <c r="L121">
        <v>800102891</v>
      </c>
      <c r="M121" t="s">
        <v>36</v>
      </c>
      <c r="N121">
        <v>2000000</v>
      </c>
      <c r="O121">
        <v>0</v>
      </c>
      <c r="P121">
        <v>20000</v>
      </c>
      <c r="Q121" t="s">
        <v>174</v>
      </c>
      <c r="R121" t="s">
        <v>31</v>
      </c>
      <c r="S121">
        <v>2025</v>
      </c>
      <c r="T121">
        <v>12997019</v>
      </c>
      <c r="U121" t="s">
        <v>175</v>
      </c>
    </row>
    <row r="122" spans="1:21" x14ac:dyDescent="0.25">
      <c r="A122" t="s">
        <v>21</v>
      </c>
      <c r="B122">
        <v>3000166</v>
      </c>
      <c r="C122" s="1">
        <v>45748</v>
      </c>
      <c r="D122">
        <v>3</v>
      </c>
      <c r="E122">
        <v>3</v>
      </c>
      <c r="F122">
        <v>999</v>
      </c>
      <c r="G122" t="s">
        <v>22</v>
      </c>
      <c r="J122">
        <v>24480506</v>
      </c>
      <c r="K122" t="s">
        <v>28</v>
      </c>
      <c r="L122">
        <v>891200461</v>
      </c>
      <c r="M122" t="s">
        <v>29</v>
      </c>
      <c r="N122">
        <v>770000</v>
      </c>
      <c r="O122">
        <v>0</v>
      </c>
      <c r="P122">
        <v>6160</v>
      </c>
      <c r="Q122" t="s">
        <v>292</v>
      </c>
      <c r="R122" t="s">
        <v>84</v>
      </c>
      <c r="S122">
        <v>2025</v>
      </c>
      <c r="T122">
        <v>18189441</v>
      </c>
      <c r="U122" t="s">
        <v>293</v>
      </c>
    </row>
    <row r="123" spans="1:21" x14ac:dyDescent="0.25">
      <c r="A123" t="s">
        <v>93</v>
      </c>
      <c r="B123">
        <v>1001368</v>
      </c>
      <c r="C123" s="1">
        <v>45748</v>
      </c>
      <c r="D123">
        <v>1</v>
      </c>
      <c r="E123">
        <v>1</v>
      </c>
      <c r="F123">
        <v>999</v>
      </c>
      <c r="G123" t="s">
        <v>22</v>
      </c>
      <c r="J123">
        <v>24480501</v>
      </c>
      <c r="K123" t="s">
        <v>35</v>
      </c>
      <c r="L123">
        <v>800102891</v>
      </c>
      <c r="M123" t="s">
        <v>36</v>
      </c>
      <c r="N123">
        <v>1964075</v>
      </c>
      <c r="O123">
        <v>0</v>
      </c>
      <c r="P123">
        <v>19640</v>
      </c>
      <c r="Q123" t="s">
        <v>432</v>
      </c>
      <c r="R123" t="s">
        <v>31</v>
      </c>
      <c r="S123">
        <v>2025</v>
      </c>
      <c r="T123">
        <v>800102891</v>
      </c>
      <c r="U123" t="s">
        <v>36</v>
      </c>
    </row>
    <row r="124" spans="1:21" x14ac:dyDescent="0.25">
      <c r="A124" t="s">
        <v>21</v>
      </c>
      <c r="B124">
        <v>6000060</v>
      </c>
      <c r="C124" s="1">
        <v>45748</v>
      </c>
      <c r="D124">
        <v>6</v>
      </c>
      <c r="E124">
        <v>6</v>
      </c>
      <c r="F124">
        <v>999</v>
      </c>
      <c r="G124" t="s">
        <v>22</v>
      </c>
      <c r="J124">
        <v>24480512</v>
      </c>
      <c r="K124" t="s">
        <v>123</v>
      </c>
      <c r="L124">
        <v>891200513</v>
      </c>
      <c r="M124" t="s">
        <v>124</v>
      </c>
      <c r="N124">
        <v>1350000</v>
      </c>
      <c r="O124">
        <v>0</v>
      </c>
      <c r="P124">
        <v>6750</v>
      </c>
      <c r="Q124" t="s">
        <v>549</v>
      </c>
      <c r="R124" t="s">
        <v>126</v>
      </c>
      <c r="S124">
        <v>2025</v>
      </c>
      <c r="T124">
        <v>26636874</v>
      </c>
      <c r="U124" t="s">
        <v>127</v>
      </c>
    </row>
    <row r="125" spans="1:21" x14ac:dyDescent="0.25">
      <c r="A125" t="s">
        <v>21</v>
      </c>
      <c r="B125">
        <v>1000622</v>
      </c>
      <c r="C125" s="1">
        <v>45748</v>
      </c>
      <c r="D125">
        <v>1</v>
      </c>
      <c r="E125">
        <v>1</v>
      </c>
      <c r="F125">
        <v>999</v>
      </c>
      <c r="G125" t="s">
        <v>22</v>
      </c>
      <c r="J125">
        <v>24480501</v>
      </c>
      <c r="K125" t="s">
        <v>35</v>
      </c>
      <c r="L125">
        <v>800102891</v>
      </c>
      <c r="M125" t="s">
        <v>36</v>
      </c>
      <c r="N125">
        <v>1080000</v>
      </c>
      <c r="O125">
        <v>0</v>
      </c>
      <c r="P125">
        <v>10800</v>
      </c>
      <c r="Q125" t="s">
        <v>584</v>
      </c>
      <c r="R125" t="s">
        <v>31</v>
      </c>
      <c r="S125">
        <v>2025</v>
      </c>
      <c r="T125">
        <v>41101376</v>
      </c>
      <c r="U125" t="s">
        <v>585</v>
      </c>
    </row>
    <row r="126" spans="1:21" x14ac:dyDescent="0.25">
      <c r="A126" t="s">
        <v>21</v>
      </c>
      <c r="B126">
        <v>1000642</v>
      </c>
      <c r="C126" s="1">
        <v>45749</v>
      </c>
      <c r="D126">
        <v>1</v>
      </c>
      <c r="E126">
        <v>2</v>
      </c>
      <c r="F126">
        <v>999</v>
      </c>
      <c r="G126" t="s">
        <v>22</v>
      </c>
      <c r="J126">
        <v>24480514</v>
      </c>
      <c r="K126" t="s">
        <v>191</v>
      </c>
      <c r="L126">
        <v>891201645</v>
      </c>
      <c r="M126" t="s">
        <v>47</v>
      </c>
      <c r="N126">
        <v>270000</v>
      </c>
      <c r="O126">
        <v>0</v>
      </c>
      <c r="P126">
        <v>2700</v>
      </c>
      <c r="Q126" t="s">
        <v>464</v>
      </c>
      <c r="R126" t="s">
        <v>31</v>
      </c>
      <c r="S126">
        <v>2025</v>
      </c>
      <c r="T126">
        <v>900437268</v>
      </c>
      <c r="U126" t="s">
        <v>39</v>
      </c>
    </row>
    <row r="127" spans="1:21" x14ac:dyDescent="0.25">
      <c r="A127" t="s">
        <v>21</v>
      </c>
      <c r="B127">
        <v>1000635</v>
      </c>
      <c r="C127" s="1">
        <v>45749</v>
      </c>
      <c r="D127">
        <v>1</v>
      </c>
      <c r="E127">
        <v>4</v>
      </c>
      <c r="F127">
        <v>999</v>
      </c>
      <c r="G127" t="s">
        <v>22</v>
      </c>
      <c r="J127">
        <v>24480510</v>
      </c>
      <c r="K127" t="s">
        <v>66</v>
      </c>
      <c r="L127">
        <v>800102912</v>
      </c>
      <c r="M127" t="s">
        <v>57</v>
      </c>
      <c r="N127">
        <v>400000</v>
      </c>
      <c r="O127">
        <v>0</v>
      </c>
      <c r="P127">
        <v>2800</v>
      </c>
      <c r="Q127" t="s">
        <v>508</v>
      </c>
      <c r="R127" t="s">
        <v>31</v>
      </c>
      <c r="S127">
        <v>2025</v>
      </c>
      <c r="T127">
        <v>900620983</v>
      </c>
      <c r="U127" t="s">
        <v>68</v>
      </c>
    </row>
    <row r="128" spans="1:21" x14ac:dyDescent="0.25">
      <c r="A128" t="s">
        <v>21</v>
      </c>
      <c r="B128">
        <v>1000645</v>
      </c>
      <c r="C128" s="1">
        <v>45749</v>
      </c>
      <c r="D128">
        <v>1</v>
      </c>
      <c r="E128">
        <v>4</v>
      </c>
      <c r="F128">
        <v>999</v>
      </c>
      <c r="G128" t="s">
        <v>22</v>
      </c>
      <c r="J128">
        <v>24480510</v>
      </c>
      <c r="K128" t="s">
        <v>66</v>
      </c>
      <c r="L128">
        <v>800102912</v>
      </c>
      <c r="M128" t="s">
        <v>57</v>
      </c>
      <c r="N128">
        <v>376050</v>
      </c>
      <c r="O128">
        <v>0</v>
      </c>
      <c r="P128">
        <v>2632</v>
      </c>
      <c r="Q128" t="s">
        <v>533</v>
      </c>
      <c r="R128" t="s">
        <v>31</v>
      </c>
      <c r="S128">
        <v>2025</v>
      </c>
      <c r="T128">
        <v>900620983</v>
      </c>
      <c r="U128" t="s">
        <v>68</v>
      </c>
    </row>
    <row r="129" spans="1:21" x14ac:dyDescent="0.25">
      <c r="A129" t="s">
        <v>21</v>
      </c>
      <c r="B129">
        <v>1000634</v>
      </c>
      <c r="C129" s="1">
        <v>45749</v>
      </c>
      <c r="D129">
        <v>1</v>
      </c>
      <c r="E129">
        <v>7</v>
      </c>
      <c r="F129">
        <v>999</v>
      </c>
      <c r="G129" t="s">
        <v>22</v>
      </c>
      <c r="J129">
        <v>24480515</v>
      </c>
      <c r="K129" t="s">
        <v>52</v>
      </c>
      <c r="L129">
        <v>800252922</v>
      </c>
      <c r="M129" t="s">
        <v>53</v>
      </c>
      <c r="N129">
        <v>400000</v>
      </c>
      <c r="O129">
        <v>0</v>
      </c>
      <c r="P129">
        <v>3200</v>
      </c>
      <c r="Q129" t="s">
        <v>582</v>
      </c>
      <c r="R129" t="s">
        <v>31</v>
      </c>
      <c r="S129">
        <v>2025</v>
      </c>
      <c r="T129">
        <v>900620983</v>
      </c>
      <c r="U129" t="s">
        <v>68</v>
      </c>
    </row>
    <row r="130" spans="1:21" x14ac:dyDescent="0.25">
      <c r="A130" t="s">
        <v>21</v>
      </c>
      <c r="B130">
        <v>1000658</v>
      </c>
      <c r="C130" s="1">
        <v>45750</v>
      </c>
      <c r="D130">
        <v>1</v>
      </c>
      <c r="E130">
        <v>7</v>
      </c>
      <c r="F130">
        <v>999</v>
      </c>
      <c r="G130" t="s">
        <v>22</v>
      </c>
      <c r="J130">
        <v>24480515</v>
      </c>
      <c r="K130" t="s">
        <v>52</v>
      </c>
      <c r="L130">
        <v>800252922</v>
      </c>
      <c r="M130" t="s">
        <v>53</v>
      </c>
      <c r="N130">
        <v>380000</v>
      </c>
      <c r="O130">
        <v>0</v>
      </c>
      <c r="P130">
        <v>3040</v>
      </c>
      <c r="Q130" t="s">
        <v>54</v>
      </c>
      <c r="R130" t="s">
        <v>31</v>
      </c>
      <c r="S130">
        <v>2025</v>
      </c>
      <c r="T130">
        <v>900502634</v>
      </c>
      <c r="U130" t="s">
        <v>55</v>
      </c>
    </row>
    <row r="131" spans="1:21" x14ac:dyDescent="0.25">
      <c r="A131" t="s">
        <v>21</v>
      </c>
      <c r="B131">
        <v>1000657</v>
      </c>
      <c r="C131" s="1">
        <v>45750</v>
      </c>
      <c r="D131">
        <v>1</v>
      </c>
      <c r="E131">
        <v>4</v>
      </c>
      <c r="F131">
        <v>999</v>
      </c>
      <c r="G131" t="s">
        <v>22</v>
      </c>
      <c r="J131">
        <v>24480510</v>
      </c>
      <c r="K131" t="s">
        <v>66</v>
      </c>
      <c r="L131">
        <v>800102912</v>
      </c>
      <c r="M131" t="s">
        <v>57</v>
      </c>
      <c r="N131">
        <v>380000</v>
      </c>
      <c r="O131">
        <v>0</v>
      </c>
      <c r="P131">
        <v>2660</v>
      </c>
      <c r="Q131" t="s">
        <v>657</v>
      </c>
      <c r="R131" t="s">
        <v>31</v>
      </c>
      <c r="S131">
        <v>2025</v>
      </c>
      <c r="T131">
        <v>900502634</v>
      </c>
      <c r="U131" t="s">
        <v>55</v>
      </c>
    </row>
    <row r="132" spans="1:21" x14ac:dyDescent="0.25">
      <c r="A132" t="s">
        <v>21</v>
      </c>
      <c r="B132">
        <v>1000756</v>
      </c>
      <c r="C132" s="1">
        <v>45756</v>
      </c>
      <c r="D132">
        <v>1</v>
      </c>
      <c r="E132">
        <v>1</v>
      </c>
      <c r="F132">
        <v>999</v>
      </c>
      <c r="G132" t="s">
        <v>22</v>
      </c>
      <c r="J132">
        <v>24480501</v>
      </c>
      <c r="K132" t="s">
        <v>35</v>
      </c>
      <c r="L132">
        <v>800102891</v>
      </c>
      <c r="M132" t="s">
        <v>36</v>
      </c>
      <c r="N132">
        <v>480000</v>
      </c>
      <c r="O132">
        <v>0</v>
      </c>
      <c r="P132">
        <v>4800</v>
      </c>
      <c r="Q132" t="s">
        <v>51</v>
      </c>
      <c r="R132" t="s">
        <v>31</v>
      </c>
      <c r="S132">
        <v>2025</v>
      </c>
      <c r="T132">
        <v>900437268</v>
      </c>
      <c r="U132" t="s">
        <v>39</v>
      </c>
    </row>
    <row r="133" spans="1:21" x14ac:dyDescent="0.25">
      <c r="A133" t="s">
        <v>21</v>
      </c>
      <c r="B133">
        <v>1000755</v>
      </c>
      <c r="C133" s="1">
        <v>45756</v>
      </c>
      <c r="D133">
        <v>1</v>
      </c>
      <c r="E133">
        <v>1</v>
      </c>
      <c r="F133">
        <v>999</v>
      </c>
      <c r="G133" t="s">
        <v>22</v>
      </c>
      <c r="J133">
        <v>24480501</v>
      </c>
      <c r="K133" t="s">
        <v>35</v>
      </c>
      <c r="L133">
        <v>800102891</v>
      </c>
      <c r="M133" t="s">
        <v>36</v>
      </c>
      <c r="N133">
        <v>480000</v>
      </c>
      <c r="O133">
        <v>0</v>
      </c>
      <c r="P133">
        <v>4800</v>
      </c>
      <c r="Q133" t="s">
        <v>381</v>
      </c>
      <c r="R133" t="s">
        <v>31</v>
      </c>
      <c r="S133">
        <v>2025</v>
      </c>
      <c r="T133">
        <v>900437268</v>
      </c>
      <c r="U133" t="s">
        <v>39</v>
      </c>
    </row>
    <row r="134" spans="1:21" x14ac:dyDescent="0.25">
      <c r="A134" t="s">
        <v>21</v>
      </c>
      <c r="B134">
        <v>1000785</v>
      </c>
      <c r="C134" s="1">
        <v>45758</v>
      </c>
      <c r="D134">
        <v>1</v>
      </c>
      <c r="E134">
        <v>1</v>
      </c>
      <c r="F134">
        <v>999</v>
      </c>
      <c r="G134" t="s">
        <v>22</v>
      </c>
      <c r="J134">
        <v>24480501</v>
      </c>
      <c r="K134" t="s">
        <v>35</v>
      </c>
      <c r="L134">
        <v>800102891</v>
      </c>
      <c r="M134" t="s">
        <v>36</v>
      </c>
      <c r="N134">
        <v>0</v>
      </c>
      <c r="O134">
        <v>108148</v>
      </c>
      <c r="P134">
        <v>0</v>
      </c>
      <c r="Q134" t="s">
        <v>45</v>
      </c>
      <c r="R134" t="s">
        <v>38</v>
      </c>
      <c r="S134">
        <v>2025</v>
      </c>
      <c r="T134">
        <v>800102891</v>
      </c>
      <c r="U134" t="s">
        <v>36</v>
      </c>
    </row>
    <row r="135" spans="1:21" x14ac:dyDescent="0.25">
      <c r="A135" t="s">
        <v>21</v>
      </c>
      <c r="B135">
        <v>1000780</v>
      </c>
      <c r="C135" s="1">
        <v>45758</v>
      </c>
      <c r="D135">
        <v>1</v>
      </c>
      <c r="E135">
        <v>7</v>
      </c>
      <c r="F135">
        <v>999</v>
      </c>
      <c r="G135" t="s">
        <v>22</v>
      </c>
      <c r="J135">
        <v>24480515</v>
      </c>
      <c r="K135" t="s">
        <v>52</v>
      </c>
      <c r="L135">
        <v>800252922</v>
      </c>
      <c r="M135" t="s">
        <v>53</v>
      </c>
      <c r="N135">
        <v>0</v>
      </c>
      <c r="O135">
        <v>9189</v>
      </c>
      <c r="P135">
        <v>0</v>
      </c>
      <c r="Q135" t="s">
        <v>137</v>
      </c>
      <c r="R135" t="s">
        <v>38</v>
      </c>
      <c r="S135">
        <v>2025</v>
      </c>
      <c r="T135">
        <v>800252922</v>
      </c>
      <c r="U135" t="s">
        <v>53</v>
      </c>
    </row>
    <row r="136" spans="1:21" x14ac:dyDescent="0.25">
      <c r="A136" t="s">
        <v>21</v>
      </c>
      <c r="B136">
        <v>2000094</v>
      </c>
      <c r="C136" s="1">
        <v>45758</v>
      </c>
      <c r="D136">
        <v>2</v>
      </c>
      <c r="E136">
        <v>2</v>
      </c>
      <c r="F136">
        <v>999</v>
      </c>
      <c r="G136" t="s">
        <v>22</v>
      </c>
      <c r="J136">
        <v>24480517</v>
      </c>
      <c r="K136" t="s">
        <v>46</v>
      </c>
      <c r="L136">
        <v>891201645</v>
      </c>
      <c r="M136" t="s">
        <v>47</v>
      </c>
      <c r="N136">
        <v>163600</v>
      </c>
      <c r="O136">
        <v>0</v>
      </c>
      <c r="P136">
        <v>1636</v>
      </c>
      <c r="Q136" t="s">
        <v>271</v>
      </c>
      <c r="R136" t="s">
        <v>49</v>
      </c>
      <c r="S136">
        <v>2025</v>
      </c>
      <c r="T136">
        <v>1122783732</v>
      </c>
      <c r="U136" t="s">
        <v>272</v>
      </c>
    </row>
    <row r="137" spans="1:21" x14ac:dyDescent="0.25">
      <c r="A137" t="s">
        <v>21</v>
      </c>
      <c r="B137">
        <v>1000782</v>
      </c>
      <c r="C137" s="1">
        <v>45758</v>
      </c>
      <c r="D137">
        <v>1</v>
      </c>
      <c r="E137">
        <v>4</v>
      </c>
      <c r="F137">
        <v>999</v>
      </c>
      <c r="G137" t="s">
        <v>22</v>
      </c>
      <c r="J137">
        <v>24480509</v>
      </c>
      <c r="K137" t="s">
        <v>56</v>
      </c>
      <c r="L137">
        <v>800102912</v>
      </c>
      <c r="M137" t="s">
        <v>57</v>
      </c>
      <c r="N137">
        <v>0</v>
      </c>
      <c r="O137">
        <v>2869</v>
      </c>
      <c r="P137">
        <v>0</v>
      </c>
      <c r="Q137" t="s">
        <v>338</v>
      </c>
      <c r="R137" t="s">
        <v>38</v>
      </c>
      <c r="S137">
        <v>2025</v>
      </c>
      <c r="T137">
        <v>800102912</v>
      </c>
      <c r="U137" t="s">
        <v>57</v>
      </c>
    </row>
    <row r="138" spans="1:21" x14ac:dyDescent="0.25">
      <c r="A138" t="s">
        <v>21</v>
      </c>
      <c r="B138">
        <v>1000781</v>
      </c>
      <c r="C138" s="1">
        <v>45758</v>
      </c>
      <c r="D138">
        <v>1</v>
      </c>
      <c r="E138">
        <v>6</v>
      </c>
      <c r="F138">
        <v>999</v>
      </c>
      <c r="G138" t="s">
        <v>22</v>
      </c>
      <c r="J138">
        <v>24480512</v>
      </c>
      <c r="K138" t="s">
        <v>123</v>
      </c>
      <c r="L138">
        <v>891200513</v>
      </c>
      <c r="M138" t="s">
        <v>124</v>
      </c>
      <c r="N138">
        <v>0</v>
      </c>
      <c r="O138">
        <v>6750</v>
      </c>
      <c r="P138">
        <v>0</v>
      </c>
      <c r="Q138" t="s">
        <v>422</v>
      </c>
      <c r="R138" t="s">
        <v>38</v>
      </c>
      <c r="S138">
        <v>2025</v>
      </c>
      <c r="T138">
        <v>891200513</v>
      </c>
      <c r="U138" t="s">
        <v>124</v>
      </c>
    </row>
    <row r="139" spans="1:21" x14ac:dyDescent="0.25">
      <c r="A139" t="s">
        <v>21</v>
      </c>
      <c r="B139">
        <v>1000782</v>
      </c>
      <c r="C139" s="1">
        <v>45758</v>
      </c>
      <c r="D139">
        <v>1</v>
      </c>
      <c r="E139">
        <v>4</v>
      </c>
      <c r="F139">
        <v>999</v>
      </c>
      <c r="G139" t="s">
        <v>22</v>
      </c>
      <c r="J139">
        <v>24480510</v>
      </c>
      <c r="K139" t="s">
        <v>66</v>
      </c>
      <c r="L139">
        <v>800102912</v>
      </c>
      <c r="M139" t="s">
        <v>57</v>
      </c>
      <c r="N139">
        <v>0</v>
      </c>
      <c r="O139">
        <v>3640</v>
      </c>
      <c r="P139">
        <v>0</v>
      </c>
      <c r="Q139" t="s">
        <v>338</v>
      </c>
      <c r="R139" t="s">
        <v>38</v>
      </c>
      <c r="S139">
        <v>2025</v>
      </c>
      <c r="T139">
        <v>800102912</v>
      </c>
      <c r="U139" t="s">
        <v>57</v>
      </c>
    </row>
    <row r="140" spans="1:21" x14ac:dyDescent="0.25">
      <c r="A140" t="s">
        <v>21</v>
      </c>
      <c r="B140">
        <v>1000779</v>
      </c>
      <c r="C140" s="1">
        <v>45758</v>
      </c>
      <c r="D140">
        <v>1</v>
      </c>
      <c r="E140">
        <v>8</v>
      </c>
      <c r="F140">
        <v>999</v>
      </c>
      <c r="G140" t="s">
        <v>22</v>
      </c>
      <c r="J140">
        <v>24480519</v>
      </c>
      <c r="K140" t="s">
        <v>32</v>
      </c>
      <c r="L140">
        <v>800054249</v>
      </c>
      <c r="M140" t="s">
        <v>33</v>
      </c>
      <c r="N140">
        <v>0</v>
      </c>
      <c r="O140">
        <v>51518</v>
      </c>
      <c r="P140">
        <v>0</v>
      </c>
      <c r="Q140" t="s">
        <v>497</v>
      </c>
      <c r="R140" t="s">
        <v>38</v>
      </c>
      <c r="S140">
        <v>2025</v>
      </c>
      <c r="T140">
        <v>800054249</v>
      </c>
      <c r="U140" t="s">
        <v>33</v>
      </c>
    </row>
    <row r="141" spans="1:21" x14ac:dyDescent="0.25">
      <c r="A141" t="s">
        <v>21</v>
      </c>
      <c r="B141">
        <v>1000785</v>
      </c>
      <c r="C141" s="1">
        <v>45758</v>
      </c>
      <c r="D141">
        <v>1</v>
      </c>
      <c r="E141">
        <v>1</v>
      </c>
      <c r="F141">
        <v>999</v>
      </c>
      <c r="G141" t="s">
        <v>22</v>
      </c>
      <c r="J141">
        <v>24480502</v>
      </c>
      <c r="K141" t="s">
        <v>106</v>
      </c>
      <c r="L141">
        <v>800102891</v>
      </c>
      <c r="M141" t="s">
        <v>36</v>
      </c>
      <c r="N141">
        <v>0</v>
      </c>
      <c r="O141">
        <v>5194</v>
      </c>
      <c r="P141">
        <v>0</v>
      </c>
      <c r="Q141" t="s">
        <v>45</v>
      </c>
      <c r="R141" t="s">
        <v>38</v>
      </c>
      <c r="S141">
        <v>2025</v>
      </c>
      <c r="T141">
        <v>800102891</v>
      </c>
      <c r="U141" t="s">
        <v>36</v>
      </c>
    </row>
    <row r="142" spans="1:21" x14ac:dyDescent="0.25">
      <c r="A142" t="s">
        <v>21</v>
      </c>
      <c r="B142">
        <v>1000784</v>
      </c>
      <c r="C142" s="1">
        <v>45758</v>
      </c>
      <c r="D142">
        <v>1</v>
      </c>
      <c r="E142">
        <v>2</v>
      </c>
      <c r="F142">
        <v>999</v>
      </c>
      <c r="G142" t="s">
        <v>22</v>
      </c>
      <c r="J142">
        <v>24480517</v>
      </c>
      <c r="K142" t="s">
        <v>46</v>
      </c>
      <c r="L142">
        <v>891201645</v>
      </c>
      <c r="M142" t="s">
        <v>47</v>
      </c>
      <c r="N142">
        <v>0</v>
      </c>
      <c r="O142">
        <v>1500</v>
      </c>
      <c r="P142">
        <v>0</v>
      </c>
      <c r="Q142" t="s">
        <v>543</v>
      </c>
      <c r="R142" t="s">
        <v>38</v>
      </c>
      <c r="S142">
        <v>2025</v>
      </c>
      <c r="T142">
        <v>891201645</v>
      </c>
      <c r="U142" t="s">
        <v>47</v>
      </c>
    </row>
    <row r="143" spans="1:21" x14ac:dyDescent="0.25">
      <c r="A143" t="s">
        <v>21</v>
      </c>
      <c r="B143">
        <v>1000784</v>
      </c>
      <c r="C143" s="1">
        <v>45758</v>
      </c>
      <c r="D143">
        <v>1</v>
      </c>
      <c r="E143">
        <v>2</v>
      </c>
      <c r="F143">
        <v>999</v>
      </c>
      <c r="G143" t="s">
        <v>22</v>
      </c>
      <c r="J143">
        <v>24480518</v>
      </c>
      <c r="K143" t="s">
        <v>75</v>
      </c>
      <c r="L143">
        <v>891201645</v>
      </c>
      <c r="M143" t="s">
        <v>47</v>
      </c>
      <c r="N143">
        <v>0</v>
      </c>
      <c r="O143">
        <v>10550</v>
      </c>
      <c r="P143">
        <v>0</v>
      </c>
      <c r="Q143" t="s">
        <v>543</v>
      </c>
      <c r="R143" t="s">
        <v>38</v>
      </c>
      <c r="S143">
        <v>2025</v>
      </c>
      <c r="T143">
        <v>891201645</v>
      </c>
      <c r="U143" t="s">
        <v>47</v>
      </c>
    </row>
    <row r="144" spans="1:21" x14ac:dyDescent="0.25">
      <c r="A144" t="s">
        <v>21</v>
      </c>
      <c r="B144">
        <v>1000780</v>
      </c>
      <c r="C144" s="1">
        <v>45758</v>
      </c>
      <c r="D144">
        <v>1</v>
      </c>
      <c r="E144">
        <v>7</v>
      </c>
      <c r="F144">
        <v>999</v>
      </c>
      <c r="G144" t="s">
        <v>22</v>
      </c>
      <c r="J144">
        <v>24480516</v>
      </c>
      <c r="K144" t="s">
        <v>79</v>
      </c>
      <c r="L144">
        <v>800252922</v>
      </c>
      <c r="M144" t="s">
        <v>53</v>
      </c>
      <c r="N144">
        <v>0</v>
      </c>
      <c r="O144">
        <v>3327</v>
      </c>
      <c r="P144">
        <v>0</v>
      </c>
      <c r="Q144" t="s">
        <v>137</v>
      </c>
      <c r="R144" t="s">
        <v>38</v>
      </c>
      <c r="S144">
        <v>2025</v>
      </c>
      <c r="T144">
        <v>800252922</v>
      </c>
      <c r="U144" t="s">
        <v>53</v>
      </c>
    </row>
    <row r="145" spans="1:21" x14ac:dyDescent="0.25">
      <c r="A145" t="s">
        <v>21</v>
      </c>
      <c r="B145">
        <v>3000194</v>
      </c>
      <c r="C145" s="1">
        <v>45758</v>
      </c>
      <c r="D145">
        <v>3</v>
      </c>
      <c r="E145">
        <v>3</v>
      </c>
      <c r="F145">
        <v>999</v>
      </c>
      <c r="G145" t="s">
        <v>22</v>
      </c>
      <c r="J145">
        <v>24480506</v>
      </c>
      <c r="K145" t="s">
        <v>28</v>
      </c>
      <c r="L145">
        <v>891200461</v>
      </c>
      <c r="M145" t="s">
        <v>29</v>
      </c>
      <c r="N145">
        <v>650000</v>
      </c>
      <c r="O145">
        <v>0</v>
      </c>
      <c r="P145">
        <v>5200</v>
      </c>
      <c r="Q145" t="s">
        <v>650</v>
      </c>
      <c r="R145" t="s">
        <v>84</v>
      </c>
      <c r="S145">
        <v>2025</v>
      </c>
      <c r="T145">
        <v>18189441</v>
      </c>
      <c r="U145" t="s">
        <v>293</v>
      </c>
    </row>
    <row r="146" spans="1:21" x14ac:dyDescent="0.25">
      <c r="A146" t="s">
        <v>21</v>
      </c>
      <c r="B146">
        <v>1000783</v>
      </c>
      <c r="C146" s="1">
        <v>45758</v>
      </c>
      <c r="D146">
        <v>1</v>
      </c>
      <c r="E146">
        <v>3</v>
      </c>
      <c r="F146">
        <v>999</v>
      </c>
      <c r="G146" t="s">
        <v>22</v>
      </c>
      <c r="J146">
        <v>24480506</v>
      </c>
      <c r="K146" t="s">
        <v>28</v>
      </c>
      <c r="L146">
        <v>891200461</v>
      </c>
      <c r="M146" t="s">
        <v>29</v>
      </c>
      <c r="N146">
        <v>0</v>
      </c>
      <c r="O146">
        <v>2560</v>
      </c>
      <c r="P146">
        <v>0</v>
      </c>
      <c r="Q146" t="s">
        <v>656</v>
      </c>
      <c r="R146" t="s">
        <v>38</v>
      </c>
      <c r="S146">
        <v>2025</v>
      </c>
      <c r="T146">
        <v>891200461</v>
      </c>
      <c r="U146" t="s">
        <v>29</v>
      </c>
    </row>
    <row r="147" spans="1:21" x14ac:dyDescent="0.25">
      <c r="A147" t="s">
        <v>93</v>
      </c>
      <c r="B147">
        <v>4000789</v>
      </c>
      <c r="C147" s="1">
        <v>45761</v>
      </c>
      <c r="D147">
        <v>4</v>
      </c>
      <c r="E147">
        <v>4</v>
      </c>
      <c r="F147">
        <v>999</v>
      </c>
      <c r="G147" t="s">
        <v>22</v>
      </c>
      <c r="J147">
        <v>24480510</v>
      </c>
      <c r="K147" t="s">
        <v>66</v>
      </c>
      <c r="L147">
        <v>800102912</v>
      </c>
      <c r="M147" t="s">
        <v>57</v>
      </c>
      <c r="N147">
        <v>350000</v>
      </c>
      <c r="O147">
        <v>0</v>
      </c>
      <c r="P147">
        <v>2100</v>
      </c>
      <c r="Q147" t="s">
        <v>270</v>
      </c>
      <c r="R147" t="s">
        <v>59</v>
      </c>
      <c r="S147">
        <v>2025</v>
      </c>
      <c r="T147">
        <v>18153926</v>
      </c>
      <c r="U147" t="s">
        <v>104</v>
      </c>
    </row>
    <row r="148" spans="1:21" x14ac:dyDescent="0.25">
      <c r="A148" t="s">
        <v>21</v>
      </c>
      <c r="B148">
        <v>3000222</v>
      </c>
      <c r="C148" s="1">
        <v>45763</v>
      </c>
      <c r="D148">
        <v>3</v>
      </c>
      <c r="E148">
        <v>3</v>
      </c>
      <c r="F148">
        <v>999</v>
      </c>
      <c r="G148" t="s">
        <v>22</v>
      </c>
      <c r="J148">
        <v>24480505</v>
      </c>
      <c r="K148" t="s">
        <v>82</v>
      </c>
      <c r="L148">
        <v>891200461</v>
      </c>
      <c r="M148" t="s">
        <v>29</v>
      </c>
      <c r="N148">
        <v>500700</v>
      </c>
      <c r="O148">
        <v>0</v>
      </c>
      <c r="P148">
        <v>4005</v>
      </c>
      <c r="Q148" t="s">
        <v>561</v>
      </c>
      <c r="R148" t="s">
        <v>84</v>
      </c>
      <c r="S148">
        <v>2025</v>
      </c>
      <c r="T148">
        <v>1000942143</v>
      </c>
      <c r="U148" t="s">
        <v>562</v>
      </c>
    </row>
    <row r="149" spans="1:21" x14ac:dyDescent="0.25">
      <c r="A149" t="s">
        <v>21</v>
      </c>
      <c r="B149">
        <v>6000074</v>
      </c>
      <c r="C149" s="1">
        <v>45768</v>
      </c>
      <c r="D149">
        <v>6</v>
      </c>
      <c r="E149">
        <v>6</v>
      </c>
      <c r="F149">
        <v>999</v>
      </c>
      <c r="G149" t="s">
        <v>22</v>
      </c>
      <c r="J149">
        <v>24480512</v>
      </c>
      <c r="K149" t="s">
        <v>123</v>
      </c>
      <c r="L149">
        <v>891200513</v>
      </c>
      <c r="M149" t="s">
        <v>124</v>
      </c>
      <c r="N149">
        <v>320000</v>
      </c>
      <c r="O149">
        <v>0</v>
      </c>
      <c r="P149">
        <v>19200</v>
      </c>
      <c r="Q149" t="s">
        <v>239</v>
      </c>
      <c r="R149" t="s">
        <v>240</v>
      </c>
      <c r="S149">
        <v>2025</v>
      </c>
      <c r="T149">
        <v>69070447</v>
      </c>
      <c r="U149" t="s">
        <v>241</v>
      </c>
    </row>
    <row r="150" spans="1:21" x14ac:dyDescent="0.25">
      <c r="A150" t="s">
        <v>21</v>
      </c>
      <c r="B150">
        <v>1000827</v>
      </c>
      <c r="C150" s="1">
        <v>45768</v>
      </c>
      <c r="D150">
        <v>1</v>
      </c>
      <c r="E150">
        <v>8</v>
      </c>
      <c r="F150">
        <v>999</v>
      </c>
      <c r="G150" t="s">
        <v>22</v>
      </c>
      <c r="J150">
        <v>24480519</v>
      </c>
      <c r="K150" t="s">
        <v>32</v>
      </c>
      <c r="L150">
        <v>800054249</v>
      </c>
      <c r="M150" t="s">
        <v>33</v>
      </c>
      <c r="N150">
        <v>10303706</v>
      </c>
      <c r="O150">
        <v>0</v>
      </c>
      <c r="P150">
        <v>51518</v>
      </c>
      <c r="Q150" t="s">
        <v>559</v>
      </c>
      <c r="R150" t="s">
        <v>31</v>
      </c>
      <c r="S150">
        <v>2025</v>
      </c>
      <c r="T150">
        <v>900579315</v>
      </c>
      <c r="U150" t="s">
        <v>44</v>
      </c>
    </row>
    <row r="151" spans="1:21" x14ac:dyDescent="0.25">
      <c r="A151" t="s">
        <v>21</v>
      </c>
      <c r="B151">
        <v>2000099</v>
      </c>
      <c r="C151" s="1">
        <v>45769</v>
      </c>
      <c r="D151">
        <v>2</v>
      </c>
      <c r="E151">
        <v>2</v>
      </c>
      <c r="F151">
        <v>999</v>
      </c>
      <c r="G151" t="s">
        <v>22</v>
      </c>
      <c r="J151">
        <v>24480518</v>
      </c>
      <c r="K151" t="s">
        <v>75</v>
      </c>
      <c r="L151">
        <v>891201645</v>
      </c>
      <c r="M151" t="s">
        <v>47</v>
      </c>
      <c r="N151">
        <v>120000</v>
      </c>
      <c r="O151">
        <v>0</v>
      </c>
      <c r="P151">
        <v>1200</v>
      </c>
      <c r="Q151" t="s">
        <v>234</v>
      </c>
      <c r="R151" t="s">
        <v>49</v>
      </c>
      <c r="S151">
        <v>2025</v>
      </c>
      <c r="T151">
        <v>97471547</v>
      </c>
      <c r="U151" t="s">
        <v>235</v>
      </c>
    </row>
    <row r="152" spans="1:21" x14ac:dyDescent="0.25">
      <c r="A152" t="s">
        <v>21</v>
      </c>
      <c r="B152">
        <v>1000841</v>
      </c>
      <c r="C152" s="1">
        <v>45769</v>
      </c>
      <c r="D152">
        <v>1</v>
      </c>
      <c r="E152">
        <v>1</v>
      </c>
      <c r="F152">
        <v>999</v>
      </c>
      <c r="G152" t="s">
        <v>22</v>
      </c>
      <c r="J152">
        <v>24480502</v>
      </c>
      <c r="K152" t="s">
        <v>106</v>
      </c>
      <c r="L152">
        <v>800102891</v>
      </c>
      <c r="M152" t="s">
        <v>36</v>
      </c>
      <c r="N152">
        <v>850000</v>
      </c>
      <c r="O152">
        <v>0</v>
      </c>
      <c r="P152">
        <v>5100</v>
      </c>
      <c r="Q152" t="s">
        <v>329</v>
      </c>
      <c r="R152" t="s">
        <v>31</v>
      </c>
      <c r="S152">
        <v>2025</v>
      </c>
      <c r="T152">
        <v>1010081868</v>
      </c>
      <c r="U152" t="s">
        <v>110</v>
      </c>
    </row>
    <row r="153" spans="1:21" x14ac:dyDescent="0.25">
      <c r="A153" t="s">
        <v>21</v>
      </c>
      <c r="B153">
        <v>3000235</v>
      </c>
      <c r="C153" s="1">
        <v>45770</v>
      </c>
      <c r="D153">
        <v>3</v>
      </c>
      <c r="E153">
        <v>3</v>
      </c>
      <c r="F153">
        <v>999</v>
      </c>
      <c r="G153" t="s">
        <v>22</v>
      </c>
      <c r="J153">
        <v>24480505</v>
      </c>
      <c r="K153" t="s">
        <v>82</v>
      </c>
      <c r="L153">
        <v>891200461</v>
      </c>
      <c r="M153" t="s">
        <v>29</v>
      </c>
      <c r="N153">
        <v>809200</v>
      </c>
      <c r="O153">
        <v>0</v>
      </c>
      <c r="P153">
        <v>6474</v>
      </c>
      <c r="Q153" t="s">
        <v>535</v>
      </c>
      <c r="R153" t="s">
        <v>84</v>
      </c>
      <c r="S153">
        <v>2025</v>
      </c>
      <c r="T153">
        <v>1085902379</v>
      </c>
      <c r="U153" t="s">
        <v>536</v>
      </c>
    </row>
    <row r="154" spans="1:21" x14ac:dyDescent="0.25">
      <c r="A154" t="s">
        <v>21</v>
      </c>
      <c r="B154">
        <v>4000120</v>
      </c>
      <c r="C154" s="1">
        <v>45772</v>
      </c>
      <c r="D154">
        <v>4</v>
      </c>
      <c r="E154">
        <v>4</v>
      </c>
      <c r="F154">
        <v>999</v>
      </c>
      <c r="G154" t="s">
        <v>22</v>
      </c>
      <c r="J154">
        <v>24480509</v>
      </c>
      <c r="K154" t="s">
        <v>56</v>
      </c>
      <c r="L154">
        <v>800102912</v>
      </c>
      <c r="M154" t="s">
        <v>57</v>
      </c>
      <c r="N154">
        <v>243200</v>
      </c>
      <c r="O154">
        <v>0</v>
      </c>
      <c r="P154">
        <v>730</v>
      </c>
      <c r="Q154" t="s">
        <v>58</v>
      </c>
      <c r="R154" t="s">
        <v>59</v>
      </c>
      <c r="S154">
        <v>2025</v>
      </c>
      <c r="T154">
        <v>12982322</v>
      </c>
      <c r="U154" t="s">
        <v>60</v>
      </c>
    </row>
    <row r="155" spans="1:21" x14ac:dyDescent="0.25">
      <c r="A155" t="s">
        <v>21</v>
      </c>
      <c r="B155">
        <v>1000854</v>
      </c>
      <c r="C155" s="1">
        <v>45772</v>
      </c>
      <c r="D155">
        <v>1</v>
      </c>
      <c r="E155">
        <v>1</v>
      </c>
      <c r="F155">
        <v>999</v>
      </c>
      <c r="G155" t="s">
        <v>22</v>
      </c>
      <c r="J155">
        <v>24480502</v>
      </c>
      <c r="K155" t="s">
        <v>106</v>
      </c>
      <c r="L155">
        <v>800102891</v>
      </c>
      <c r="M155" t="s">
        <v>36</v>
      </c>
      <c r="N155">
        <v>1160000</v>
      </c>
      <c r="O155">
        <v>0</v>
      </c>
      <c r="P155">
        <v>6960</v>
      </c>
      <c r="Q155" t="s">
        <v>208</v>
      </c>
      <c r="R155" t="s">
        <v>31</v>
      </c>
      <c r="S155">
        <v>2025</v>
      </c>
      <c r="T155">
        <v>1124850208</v>
      </c>
      <c r="U155" t="s">
        <v>159</v>
      </c>
    </row>
    <row r="156" spans="1:21" x14ac:dyDescent="0.25">
      <c r="A156" t="s">
        <v>21</v>
      </c>
      <c r="B156">
        <v>1000855</v>
      </c>
      <c r="C156" s="1">
        <v>45772</v>
      </c>
      <c r="D156">
        <v>1</v>
      </c>
      <c r="E156">
        <v>1</v>
      </c>
      <c r="F156">
        <v>999</v>
      </c>
      <c r="G156" t="s">
        <v>22</v>
      </c>
      <c r="J156">
        <v>24480502</v>
      </c>
      <c r="K156" t="s">
        <v>106</v>
      </c>
      <c r="L156">
        <v>800102891</v>
      </c>
      <c r="M156" t="s">
        <v>36</v>
      </c>
      <c r="N156">
        <v>580000</v>
      </c>
      <c r="O156">
        <v>0</v>
      </c>
      <c r="P156">
        <v>3480</v>
      </c>
      <c r="Q156" t="s">
        <v>380</v>
      </c>
      <c r="R156" t="s">
        <v>31</v>
      </c>
      <c r="S156">
        <v>2025</v>
      </c>
      <c r="T156">
        <v>1124850208</v>
      </c>
      <c r="U156" t="s">
        <v>159</v>
      </c>
    </row>
    <row r="157" spans="1:21" x14ac:dyDescent="0.25">
      <c r="A157" t="s">
        <v>21</v>
      </c>
      <c r="B157">
        <v>1000859</v>
      </c>
      <c r="C157" s="1">
        <v>45772</v>
      </c>
      <c r="D157">
        <v>1</v>
      </c>
      <c r="E157">
        <v>6</v>
      </c>
      <c r="F157">
        <v>999</v>
      </c>
      <c r="G157" t="s">
        <v>22</v>
      </c>
      <c r="J157">
        <v>24480512</v>
      </c>
      <c r="K157" t="s">
        <v>123</v>
      </c>
      <c r="L157">
        <v>891200513</v>
      </c>
      <c r="M157" t="s">
        <v>124</v>
      </c>
      <c r="N157">
        <v>1350000</v>
      </c>
      <c r="O157">
        <v>0</v>
      </c>
      <c r="P157">
        <v>6750</v>
      </c>
      <c r="Q157" t="s">
        <v>471</v>
      </c>
      <c r="R157" t="s">
        <v>200</v>
      </c>
      <c r="S157">
        <v>2025</v>
      </c>
      <c r="T157">
        <v>891200513</v>
      </c>
      <c r="U157" t="s">
        <v>124</v>
      </c>
    </row>
    <row r="158" spans="1:21" x14ac:dyDescent="0.25">
      <c r="A158" t="s">
        <v>21</v>
      </c>
      <c r="B158">
        <v>1000859</v>
      </c>
      <c r="C158" s="1">
        <v>45772</v>
      </c>
      <c r="D158">
        <v>1</v>
      </c>
      <c r="E158">
        <v>6</v>
      </c>
      <c r="F158">
        <v>999</v>
      </c>
      <c r="G158" t="s">
        <v>22</v>
      </c>
      <c r="J158">
        <v>24480512</v>
      </c>
      <c r="K158" t="s">
        <v>123</v>
      </c>
      <c r="L158">
        <v>891200513</v>
      </c>
      <c r="M158" t="s">
        <v>124</v>
      </c>
      <c r="N158">
        <v>0</v>
      </c>
      <c r="O158">
        <v>6750</v>
      </c>
      <c r="P158">
        <v>0</v>
      </c>
      <c r="Q158" t="s">
        <v>471</v>
      </c>
      <c r="R158" t="s">
        <v>200</v>
      </c>
      <c r="S158">
        <v>2025</v>
      </c>
      <c r="T158">
        <v>891200513</v>
      </c>
      <c r="U158" t="s">
        <v>124</v>
      </c>
    </row>
    <row r="159" spans="1:21" x14ac:dyDescent="0.25">
      <c r="A159" t="s">
        <v>21</v>
      </c>
      <c r="B159">
        <v>7000052</v>
      </c>
      <c r="C159" s="1">
        <v>45775</v>
      </c>
      <c r="D159">
        <v>7</v>
      </c>
      <c r="E159">
        <v>7</v>
      </c>
      <c r="F159">
        <v>999</v>
      </c>
      <c r="G159" t="s">
        <v>22</v>
      </c>
      <c r="J159">
        <v>24480515</v>
      </c>
      <c r="K159" t="s">
        <v>52</v>
      </c>
      <c r="L159">
        <v>800252922</v>
      </c>
      <c r="M159" t="s">
        <v>53</v>
      </c>
      <c r="N159">
        <v>200000</v>
      </c>
      <c r="O159">
        <v>0</v>
      </c>
      <c r="P159">
        <v>1000</v>
      </c>
      <c r="Q159" t="s">
        <v>478</v>
      </c>
      <c r="R159" t="s">
        <v>64</v>
      </c>
      <c r="S159">
        <v>2025</v>
      </c>
      <c r="T159">
        <v>15572024</v>
      </c>
      <c r="U159" t="s">
        <v>187</v>
      </c>
    </row>
    <row r="160" spans="1:21" x14ac:dyDescent="0.25">
      <c r="A160" t="s">
        <v>21</v>
      </c>
      <c r="B160">
        <v>1000873</v>
      </c>
      <c r="C160" s="1">
        <v>45776</v>
      </c>
      <c r="D160">
        <v>1</v>
      </c>
      <c r="E160">
        <v>1</v>
      </c>
      <c r="F160">
        <v>999</v>
      </c>
      <c r="G160" t="s">
        <v>22</v>
      </c>
      <c r="J160">
        <v>24480501</v>
      </c>
      <c r="K160" t="s">
        <v>35</v>
      </c>
      <c r="L160">
        <v>800102891</v>
      </c>
      <c r="M160" t="s">
        <v>36</v>
      </c>
      <c r="N160">
        <v>6594803</v>
      </c>
      <c r="O160">
        <v>0</v>
      </c>
      <c r="P160">
        <v>65948</v>
      </c>
      <c r="Q160" t="s">
        <v>412</v>
      </c>
      <c r="R160" t="s">
        <v>31</v>
      </c>
      <c r="S160">
        <v>2025</v>
      </c>
      <c r="T160">
        <v>18145427</v>
      </c>
      <c r="U160" t="s">
        <v>70</v>
      </c>
    </row>
    <row r="161" spans="1:21" x14ac:dyDescent="0.25">
      <c r="A161" t="s">
        <v>21</v>
      </c>
      <c r="B161">
        <v>2000111</v>
      </c>
      <c r="C161" s="1">
        <v>45776</v>
      </c>
      <c r="D161">
        <v>2</v>
      </c>
      <c r="E161">
        <v>2</v>
      </c>
      <c r="F161">
        <v>999</v>
      </c>
      <c r="G161" t="s">
        <v>22</v>
      </c>
      <c r="J161">
        <v>24480517</v>
      </c>
      <c r="K161" t="s">
        <v>46</v>
      </c>
      <c r="L161">
        <v>891201645</v>
      </c>
      <c r="M161" t="s">
        <v>47</v>
      </c>
      <c r="N161">
        <v>1339621</v>
      </c>
      <c r="O161">
        <v>0</v>
      </c>
      <c r="P161">
        <v>13396</v>
      </c>
      <c r="Q161" t="s">
        <v>476</v>
      </c>
      <c r="R161" t="s">
        <v>49</v>
      </c>
      <c r="S161">
        <v>2025</v>
      </c>
      <c r="T161">
        <v>30722630</v>
      </c>
      <c r="U161" t="s">
        <v>477</v>
      </c>
    </row>
    <row r="162" spans="1:21" x14ac:dyDescent="0.25">
      <c r="A162" t="s">
        <v>21</v>
      </c>
      <c r="B162">
        <v>2000109</v>
      </c>
      <c r="C162" s="1">
        <v>45776</v>
      </c>
      <c r="D162">
        <v>2</v>
      </c>
      <c r="E162">
        <v>2</v>
      </c>
      <c r="F162">
        <v>999</v>
      </c>
      <c r="G162" t="s">
        <v>22</v>
      </c>
      <c r="J162">
        <v>24480518</v>
      </c>
      <c r="K162" t="s">
        <v>75</v>
      </c>
      <c r="L162">
        <v>891201645</v>
      </c>
      <c r="M162" t="s">
        <v>47</v>
      </c>
      <c r="N162">
        <v>220000</v>
      </c>
      <c r="O162">
        <v>0</v>
      </c>
      <c r="P162">
        <v>2200</v>
      </c>
      <c r="Q162" t="s">
        <v>481</v>
      </c>
      <c r="R162" t="s">
        <v>49</v>
      </c>
      <c r="S162">
        <v>2025</v>
      </c>
      <c r="T162">
        <v>97472144</v>
      </c>
      <c r="U162" t="s">
        <v>352</v>
      </c>
    </row>
    <row r="163" spans="1:21" x14ac:dyDescent="0.25">
      <c r="A163" t="s">
        <v>93</v>
      </c>
      <c r="B163">
        <v>4000941</v>
      </c>
      <c r="C163" s="1">
        <v>45777</v>
      </c>
      <c r="D163">
        <v>4</v>
      </c>
      <c r="E163">
        <v>4</v>
      </c>
      <c r="F163">
        <v>999</v>
      </c>
      <c r="G163" t="s">
        <v>22</v>
      </c>
      <c r="J163">
        <v>24480509</v>
      </c>
      <c r="K163" t="s">
        <v>56</v>
      </c>
      <c r="L163">
        <v>800102912</v>
      </c>
      <c r="M163" t="s">
        <v>57</v>
      </c>
      <c r="N163">
        <v>265800</v>
      </c>
      <c r="O163">
        <v>0</v>
      </c>
      <c r="P163">
        <v>1197</v>
      </c>
      <c r="Q163" t="s">
        <v>217</v>
      </c>
      <c r="R163" t="s">
        <v>59</v>
      </c>
      <c r="S163">
        <v>2025</v>
      </c>
      <c r="T163">
        <v>1123320083</v>
      </c>
      <c r="U163" t="s">
        <v>95</v>
      </c>
    </row>
    <row r="164" spans="1:21" x14ac:dyDescent="0.25">
      <c r="A164" t="s">
        <v>21</v>
      </c>
      <c r="B164">
        <v>1000975</v>
      </c>
      <c r="C164" s="1">
        <v>45777</v>
      </c>
      <c r="D164">
        <v>1</v>
      </c>
      <c r="E164">
        <v>1</v>
      </c>
      <c r="F164">
        <v>999</v>
      </c>
      <c r="G164" t="s">
        <v>22</v>
      </c>
      <c r="J164">
        <v>24480501</v>
      </c>
      <c r="K164" t="s">
        <v>35</v>
      </c>
      <c r="L164">
        <v>800102891</v>
      </c>
      <c r="M164" t="s">
        <v>36</v>
      </c>
      <c r="N164">
        <v>-1964075</v>
      </c>
      <c r="O164">
        <v>19640</v>
      </c>
      <c r="P164">
        <v>0</v>
      </c>
      <c r="Q164" t="s">
        <v>490</v>
      </c>
      <c r="R164" t="s">
        <v>31</v>
      </c>
      <c r="S164">
        <v>2025</v>
      </c>
      <c r="T164">
        <v>800102891</v>
      </c>
      <c r="U164" t="s">
        <v>36</v>
      </c>
    </row>
    <row r="165" spans="1:21" x14ac:dyDescent="0.25">
      <c r="A165" t="s">
        <v>21</v>
      </c>
      <c r="B165">
        <v>1000981</v>
      </c>
      <c r="C165" s="1">
        <v>45777</v>
      </c>
      <c r="D165">
        <v>1</v>
      </c>
      <c r="E165">
        <v>6</v>
      </c>
      <c r="F165">
        <v>999</v>
      </c>
      <c r="G165" t="s">
        <v>22</v>
      </c>
      <c r="J165">
        <v>24480512</v>
      </c>
      <c r="K165" t="s">
        <v>123</v>
      </c>
      <c r="L165">
        <v>891200513</v>
      </c>
      <c r="M165" t="s">
        <v>124</v>
      </c>
      <c r="N165">
        <v>-350000</v>
      </c>
      <c r="O165">
        <v>19200</v>
      </c>
      <c r="P165">
        <v>0</v>
      </c>
      <c r="Q165" t="s">
        <v>600</v>
      </c>
      <c r="R165" t="s">
        <v>31</v>
      </c>
      <c r="S165">
        <v>2025</v>
      </c>
      <c r="T165">
        <v>69070447</v>
      </c>
      <c r="U165" t="s">
        <v>241</v>
      </c>
    </row>
    <row r="166" spans="1:21" x14ac:dyDescent="0.25">
      <c r="A166" t="s">
        <v>21</v>
      </c>
      <c r="B166">
        <v>1000975</v>
      </c>
      <c r="C166" s="1">
        <v>45777</v>
      </c>
      <c r="D166">
        <v>1</v>
      </c>
      <c r="E166">
        <v>1</v>
      </c>
      <c r="F166">
        <v>999</v>
      </c>
      <c r="G166" t="s">
        <v>22</v>
      </c>
      <c r="J166">
        <v>24480501</v>
      </c>
      <c r="K166" t="s">
        <v>35</v>
      </c>
      <c r="L166">
        <v>800102891</v>
      </c>
      <c r="M166" t="s">
        <v>36</v>
      </c>
      <c r="N166">
        <v>1964075</v>
      </c>
      <c r="O166">
        <v>0</v>
      </c>
      <c r="P166">
        <v>19640</v>
      </c>
      <c r="Q166" t="s">
        <v>490</v>
      </c>
      <c r="R166" t="s">
        <v>31</v>
      </c>
      <c r="S166">
        <v>2025</v>
      </c>
      <c r="T166">
        <v>18127828</v>
      </c>
      <c r="U166" t="s">
        <v>205</v>
      </c>
    </row>
    <row r="167" spans="1:21" x14ac:dyDescent="0.25">
      <c r="A167" t="s">
        <v>21</v>
      </c>
      <c r="B167">
        <v>1000915</v>
      </c>
      <c r="C167" s="1">
        <v>45783</v>
      </c>
      <c r="D167">
        <v>1</v>
      </c>
      <c r="E167">
        <v>4</v>
      </c>
      <c r="F167">
        <v>999</v>
      </c>
      <c r="G167" t="s">
        <v>22</v>
      </c>
      <c r="J167">
        <v>24480510</v>
      </c>
      <c r="K167" t="s">
        <v>66</v>
      </c>
      <c r="L167">
        <v>800102912</v>
      </c>
      <c r="M167" t="s">
        <v>57</v>
      </c>
      <c r="N167">
        <v>400000</v>
      </c>
      <c r="O167">
        <v>0</v>
      </c>
      <c r="P167">
        <v>2800</v>
      </c>
      <c r="Q167" t="s">
        <v>177</v>
      </c>
      <c r="R167" t="s">
        <v>31</v>
      </c>
      <c r="S167">
        <v>2025</v>
      </c>
      <c r="T167">
        <v>900620983</v>
      </c>
      <c r="U167" t="s">
        <v>68</v>
      </c>
    </row>
    <row r="168" spans="1:21" x14ac:dyDescent="0.25">
      <c r="A168" t="s">
        <v>21</v>
      </c>
      <c r="B168">
        <v>2000117</v>
      </c>
      <c r="C168" s="1">
        <v>45783</v>
      </c>
      <c r="D168">
        <v>2</v>
      </c>
      <c r="E168">
        <v>2</v>
      </c>
      <c r="F168">
        <v>999</v>
      </c>
      <c r="G168" t="s">
        <v>22</v>
      </c>
      <c r="J168">
        <v>24480518</v>
      </c>
      <c r="K168" t="s">
        <v>75</v>
      </c>
      <c r="L168">
        <v>891201645</v>
      </c>
      <c r="M168" t="s">
        <v>47</v>
      </c>
      <c r="N168">
        <v>310000</v>
      </c>
      <c r="O168">
        <v>0</v>
      </c>
      <c r="P168">
        <v>3100</v>
      </c>
      <c r="Q168" t="s">
        <v>303</v>
      </c>
      <c r="R168" t="s">
        <v>49</v>
      </c>
      <c r="S168">
        <v>2025</v>
      </c>
      <c r="T168">
        <v>41181552</v>
      </c>
      <c r="U168" t="s">
        <v>304</v>
      </c>
    </row>
    <row r="169" spans="1:21" x14ac:dyDescent="0.25">
      <c r="A169" t="s">
        <v>21</v>
      </c>
      <c r="B169">
        <v>1000914</v>
      </c>
      <c r="C169" s="1">
        <v>45783</v>
      </c>
      <c r="D169">
        <v>1</v>
      </c>
      <c r="E169">
        <v>7</v>
      </c>
      <c r="F169">
        <v>999</v>
      </c>
      <c r="G169" t="s">
        <v>22</v>
      </c>
      <c r="J169">
        <v>24480515</v>
      </c>
      <c r="K169" t="s">
        <v>52</v>
      </c>
      <c r="L169">
        <v>800252922</v>
      </c>
      <c r="M169" t="s">
        <v>53</v>
      </c>
      <c r="N169">
        <v>400000</v>
      </c>
      <c r="O169">
        <v>0</v>
      </c>
      <c r="P169">
        <v>3200</v>
      </c>
      <c r="Q169" t="s">
        <v>313</v>
      </c>
      <c r="R169" t="s">
        <v>31</v>
      </c>
      <c r="S169">
        <v>2025</v>
      </c>
      <c r="T169">
        <v>900620983</v>
      </c>
      <c r="U169" t="s">
        <v>68</v>
      </c>
    </row>
    <row r="170" spans="1:21" x14ac:dyDescent="0.25">
      <c r="A170" t="s">
        <v>21</v>
      </c>
      <c r="B170">
        <v>1000918</v>
      </c>
      <c r="C170" s="1">
        <v>45783</v>
      </c>
      <c r="D170">
        <v>1</v>
      </c>
      <c r="E170">
        <v>4</v>
      </c>
      <c r="F170">
        <v>999</v>
      </c>
      <c r="G170" t="s">
        <v>22</v>
      </c>
      <c r="J170">
        <v>24480510</v>
      </c>
      <c r="K170" t="s">
        <v>66</v>
      </c>
      <c r="L170">
        <v>800102912</v>
      </c>
      <c r="M170" t="s">
        <v>57</v>
      </c>
      <c r="N170">
        <v>376050</v>
      </c>
      <c r="O170">
        <v>0</v>
      </c>
      <c r="P170">
        <v>2632</v>
      </c>
      <c r="Q170" t="s">
        <v>406</v>
      </c>
      <c r="R170" t="s">
        <v>31</v>
      </c>
      <c r="S170">
        <v>2025</v>
      </c>
      <c r="T170">
        <v>900620983</v>
      </c>
      <c r="U170" t="s">
        <v>68</v>
      </c>
    </row>
    <row r="171" spans="1:21" x14ac:dyDescent="0.25">
      <c r="A171" t="s">
        <v>93</v>
      </c>
      <c r="B171">
        <v>1001869</v>
      </c>
      <c r="C171" s="1">
        <v>45783</v>
      </c>
      <c r="D171">
        <v>1</v>
      </c>
      <c r="E171">
        <v>1</v>
      </c>
      <c r="F171">
        <v>999</v>
      </c>
      <c r="G171" t="s">
        <v>22</v>
      </c>
      <c r="J171">
        <v>24480501</v>
      </c>
      <c r="K171" t="s">
        <v>35</v>
      </c>
      <c r="L171">
        <v>800102891</v>
      </c>
      <c r="M171" t="s">
        <v>36</v>
      </c>
      <c r="N171">
        <v>2142985</v>
      </c>
      <c r="O171">
        <v>0</v>
      </c>
      <c r="P171">
        <v>21430</v>
      </c>
      <c r="Q171" t="s">
        <v>444</v>
      </c>
      <c r="R171" t="s">
        <v>31</v>
      </c>
      <c r="S171">
        <v>2025</v>
      </c>
      <c r="T171">
        <v>18127828</v>
      </c>
      <c r="U171" t="s">
        <v>205</v>
      </c>
    </row>
    <row r="172" spans="1:21" x14ac:dyDescent="0.25">
      <c r="A172" t="s">
        <v>21</v>
      </c>
      <c r="B172">
        <v>6000092</v>
      </c>
      <c r="C172" s="1">
        <v>45784</v>
      </c>
      <c r="D172">
        <v>6</v>
      </c>
      <c r="E172">
        <v>6</v>
      </c>
      <c r="F172">
        <v>999</v>
      </c>
      <c r="G172" t="s">
        <v>22</v>
      </c>
      <c r="J172">
        <v>24480512</v>
      </c>
      <c r="K172" t="s">
        <v>123</v>
      </c>
      <c r="L172">
        <v>891200513</v>
      </c>
      <c r="M172" t="s">
        <v>124</v>
      </c>
      <c r="N172">
        <v>1350000</v>
      </c>
      <c r="O172">
        <v>0</v>
      </c>
      <c r="P172">
        <v>6750</v>
      </c>
      <c r="Q172" t="s">
        <v>125</v>
      </c>
      <c r="R172" t="s">
        <v>126</v>
      </c>
      <c r="S172">
        <v>2025</v>
      </c>
      <c r="T172">
        <v>26636874</v>
      </c>
      <c r="U172" t="s">
        <v>127</v>
      </c>
    </row>
    <row r="173" spans="1:21" x14ac:dyDescent="0.25">
      <c r="A173" t="s">
        <v>21</v>
      </c>
      <c r="B173">
        <v>1000960</v>
      </c>
      <c r="C173" s="1">
        <v>45785</v>
      </c>
      <c r="D173">
        <v>1</v>
      </c>
      <c r="E173">
        <v>1</v>
      </c>
      <c r="F173">
        <v>999</v>
      </c>
      <c r="G173" t="s">
        <v>22</v>
      </c>
      <c r="J173">
        <v>24480501</v>
      </c>
      <c r="K173" t="s">
        <v>35</v>
      </c>
      <c r="L173">
        <v>800102891</v>
      </c>
      <c r="M173" t="s">
        <v>36</v>
      </c>
      <c r="N173">
        <v>1100000</v>
      </c>
      <c r="O173">
        <v>0</v>
      </c>
      <c r="P173">
        <v>11000</v>
      </c>
      <c r="Q173" t="s">
        <v>550</v>
      </c>
      <c r="R173" t="s">
        <v>31</v>
      </c>
      <c r="S173">
        <v>2025</v>
      </c>
      <c r="T173">
        <v>93407539</v>
      </c>
      <c r="U173" t="s">
        <v>348</v>
      </c>
    </row>
    <row r="174" spans="1:21" x14ac:dyDescent="0.25">
      <c r="A174" t="s">
        <v>93</v>
      </c>
      <c r="B174">
        <v>4001003</v>
      </c>
      <c r="C174" s="1">
        <v>45789</v>
      </c>
      <c r="D174">
        <v>4</v>
      </c>
      <c r="E174">
        <v>4</v>
      </c>
      <c r="F174">
        <v>999</v>
      </c>
      <c r="G174" t="s">
        <v>22</v>
      </c>
      <c r="J174">
        <v>24480510</v>
      </c>
      <c r="K174" t="s">
        <v>66</v>
      </c>
      <c r="L174">
        <v>800102912</v>
      </c>
      <c r="M174" t="s">
        <v>57</v>
      </c>
      <c r="N174">
        <v>350000</v>
      </c>
      <c r="O174">
        <v>0</v>
      </c>
      <c r="P174">
        <v>2100</v>
      </c>
      <c r="Q174" t="s">
        <v>658</v>
      </c>
      <c r="R174" t="s">
        <v>59</v>
      </c>
      <c r="S174">
        <v>2025</v>
      </c>
      <c r="T174">
        <v>18153926</v>
      </c>
      <c r="U174" t="s">
        <v>104</v>
      </c>
    </row>
    <row r="175" spans="1:21" x14ac:dyDescent="0.25">
      <c r="A175" t="s">
        <v>21</v>
      </c>
      <c r="B175">
        <v>1001013</v>
      </c>
      <c r="C175" s="1">
        <v>45790</v>
      </c>
      <c r="D175">
        <v>1</v>
      </c>
      <c r="E175">
        <v>1</v>
      </c>
      <c r="F175">
        <v>999</v>
      </c>
      <c r="G175" t="s">
        <v>22</v>
      </c>
      <c r="J175">
        <v>24480501</v>
      </c>
      <c r="K175" t="s">
        <v>35</v>
      </c>
      <c r="L175">
        <v>800102891</v>
      </c>
      <c r="M175" t="s">
        <v>36</v>
      </c>
      <c r="N175">
        <v>2234500</v>
      </c>
      <c r="O175">
        <v>0</v>
      </c>
      <c r="P175">
        <v>22345</v>
      </c>
      <c r="Q175" t="s">
        <v>40</v>
      </c>
      <c r="R175" t="s">
        <v>31</v>
      </c>
      <c r="S175">
        <v>2025</v>
      </c>
      <c r="T175">
        <v>1122726016</v>
      </c>
      <c r="U175" t="s">
        <v>41</v>
      </c>
    </row>
    <row r="176" spans="1:21" x14ac:dyDescent="0.25">
      <c r="A176" t="s">
        <v>21</v>
      </c>
      <c r="B176">
        <v>1001021</v>
      </c>
      <c r="C176" s="1">
        <v>45791</v>
      </c>
      <c r="D176">
        <v>1</v>
      </c>
      <c r="E176">
        <v>1</v>
      </c>
      <c r="F176">
        <v>999</v>
      </c>
      <c r="G176" t="s">
        <v>22</v>
      </c>
      <c r="J176">
        <v>24480501</v>
      </c>
      <c r="K176" t="s">
        <v>35</v>
      </c>
      <c r="L176">
        <v>800102891</v>
      </c>
      <c r="M176" t="s">
        <v>36</v>
      </c>
      <c r="N176">
        <v>480000</v>
      </c>
      <c r="O176">
        <v>0</v>
      </c>
      <c r="P176">
        <v>4800</v>
      </c>
      <c r="Q176" t="s">
        <v>161</v>
      </c>
      <c r="R176" t="s">
        <v>31</v>
      </c>
      <c r="S176">
        <v>2025</v>
      </c>
      <c r="T176">
        <v>900437268</v>
      </c>
      <c r="U176" t="s">
        <v>39</v>
      </c>
    </row>
    <row r="177" spans="1:21" x14ac:dyDescent="0.25">
      <c r="A177" t="s">
        <v>21</v>
      </c>
      <c r="B177">
        <v>1001023</v>
      </c>
      <c r="C177" s="1">
        <v>45791</v>
      </c>
      <c r="D177">
        <v>1</v>
      </c>
      <c r="E177">
        <v>2</v>
      </c>
      <c r="F177">
        <v>999</v>
      </c>
      <c r="G177" t="s">
        <v>22</v>
      </c>
      <c r="J177">
        <v>24480518</v>
      </c>
      <c r="K177" t="s">
        <v>75</v>
      </c>
      <c r="L177">
        <v>891201645</v>
      </c>
      <c r="M177" t="s">
        <v>47</v>
      </c>
      <c r="N177">
        <v>270000</v>
      </c>
      <c r="O177">
        <v>0</v>
      </c>
      <c r="P177">
        <v>2700</v>
      </c>
      <c r="Q177" t="s">
        <v>370</v>
      </c>
      <c r="R177" t="s">
        <v>31</v>
      </c>
      <c r="S177">
        <v>2025</v>
      </c>
      <c r="T177">
        <v>900437268</v>
      </c>
      <c r="U177" t="s">
        <v>39</v>
      </c>
    </row>
    <row r="178" spans="1:21" x14ac:dyDescent="0.25">
      <c r="A178" t="s">
        <v>21</v>
      </c>
      <c r="B178">
        <v>1001032</v>
      </c>
      <c r="C178" s="1">
        <v>45792</v>
      </c>
      <c r="D178">
        <v>1</v>
      </c>
      <c r="E178">
        <v>2</v>
      </c>
      <c r="F178">
        <v>999</v>
      </c>
      <c r="G178" t="s">
        <v>22</v>
      </c>
      <c r="J178">
        <v>24480518</v>
      </c>
      <c r="K178" t="s">
        <v>75</v>
      </c>
      <c r="L178">
        <v>891201645</v>
      </c>
      <c r="M178" t="s">
        <v>47</v>
      </c>
      <c r="N178">
        <v>0</v>
      </c>
      <c r="O178">
        <v>3400</v>
      </c>
      <c r="P178">
        <v>0</v>
      </c>
      <c r="Q178" t="s">
        <v>122</v>
      </c>
      <c r="R178" t="s">
        <v>31</v>
      </c>
      <c r="S178">
        <v>2025</v>
      </c>
      <c r="T178">
        <v>891201645</v>
      </c>
      <c r="U178" t="s">
        <v>47</v>
      </c>
    </row>
    <row r="179" spans="1:21" x14ac:dyDescent="0.25">
      <c r="A179" t="s">
        <v>21</v>
      </c>
      <c r="B179">
        <v>1001037</v>
      </c>
      <c r="C179" s="1">
        <v>45792</v>
      </c>
      <c r="D179">
        <v>1</v>
      </c>
      <c r="E179">
        <v>1</v>
      </c>
      <c r="F179">
        <v>999</v>
      </c>
      <c r="G179" t="s">
        <v>22</v>
      </c>
      <c r="J179">
        <v>24480502</v>
      </c>
      <c r="K179" t="s">
        <v>106</v>
      </c>
      <c r="L179">
        <v>800102891</v>
      </c>
      <c r="M179" t="s">
        <v>36</v>
      </c>
      <c r="N179">
        <v>0</v>
      </c>
      <c r="O179">
        <v>15540</v>
      </c>
      <c r="P179">
        <v>0</v>
      </c>
      <c r="Q179" t="s">
        <v>128</v>
      </c>
      <c r="R179" t="s">
        <v>31</v>
      </c>
      <c r="S179">
        <v>2025</v>
      </c>
      <c r="T179">
        <v>800102891</v>
      </c>
      <c r="U179" t="s">
        <v>36</v>
      </c>
    </row>
    <row r="180" spans="1:21" x14ac:dyDescent="0.25">
      <c r="A180" t="s">
        <v>21</v>
      </c>
      <c r="B180">
        <v>1001033</v>
      </c>
      <c r="C180" s="1">
        <v>45792</v>
      </c>
      <c r="D180">
        <v>1</v>
      </c>
      <c r="E180">
        <v>3</v>
      </c>
      <c r="F180">
        <v>999</v>
      </c>
      <c r="G180" t="s">
        <v>22</v>
      </c>
      <c r="J180">
        <v>24480506</v>
      </c>
      <c r="K180" t="s">
        <v>28</v>
      </c>
      <c r="L180">
        <v>891200461</v>
      </c>
      <c r="M180" t="s">
        <v>29</v>
      </c>
      <c r="N180">
        <v>0</v>
      </c>
      <c r="O180">
        <v>11360</v>
      </c>
      <c r="P180">
        <v>0</v>
      </c>
      <c r="Q180" t="s">
        <v>160</v>
      </c>
      <c r="R180" t="s">
        <v>31</v>
      </c>
      <c r="S180">
        <v>2025</v>
      </c>
      <c r="T180">
        <v>891200461</v>
      </c>
      <c r="U180" t="s">
        <v>29</v>
      </c>
    </row>
    <row r="181" spans="1:21" x14ac:dyDescent="0.25">
      <c r="A181" t="s">
        <v>21</v>
      </c>
      <c r="B181">
        <v>1001035</v>
      </c>
      <c r="C181" s="1">
        <v>45792</v>
      </c>
      <c r="D181">
        <v>1</v>
      </c>
      <c r="E181">
        <v>7</v>
      </c>
      <c r="F181">
        <v>999</v>
      </c>
      <c r="G181" t="s">
        <v>22</v>
      </c>
      <c r="J181">
        <v>24480515</v>
      </c>
      <c r="K181" t="s">
        <v>52</v>
      </c>
      <c r="L181">
        <v>800252922</v>
      </c>
      <c r="M181" t="s">
        <v>53</v>
      </c>
      <c r="N181">
        <v>0</v>
      </c>
      <c r="O181">
        <v>7240</v>
      </c>
      <c r="P181">
        <v>0</v>
      </c>
      <c r="Q181" t="s">
        <v>178</v>
      </c>
      <c r="R181" t="s">
        <v>31</v>
      </c>
      <c r="S181">
        <v>2025</v>
      </c>
      <c r="T181">
        <v>800252922</v>
      </c>
      <c r="U181" t="s">
        <v>53</v>
      </c>
    </row>
    <row r="182" spans="1:21" x14ac:dyDescent="0.25">
      <c r="A182" t="s">
        <v>21</v>
      </c>
      <c r="B182">
        <v>1001032</v>
      </c>
      <c r="C182" s="1">
        <v>45792</v>
      </c>
      <c r="D182">
        <v>1</v>
      </c>
      <c r="E182">
        <v>2</v>
      </c>
      <c r="F182">
        <v>999</v>
      </c>
      <c r="G182" t="s">
        <v>22</v>
      </c>
      <c r="J182">
        <v>24480514</v>
      </c>
      <c r="K182" t="s">
        <v>191</v>
      </c>
      <c r="L182">
        <v>891201645</v>
      </c>
      <c r="M182" t="s">
        <v>47</v>
      </c>
      <c r="N182">
        <v>0</v>
      </c>
      <c r="O182">
        <v>2700</v>
      </c>
      <c r="P182">
        <v>0</v>
      </c>
      <c r="Q182" t="s">
        <v>122</v>
      </c>
      <c r="R182" t="s">
        <v>31</v>
      </c>
      <c r="S182">
        <v>2025</v>
      </c>
      <c r="T182">
        <v>891201645</v>
      </c>
      <c r="U182" t="s">
        <v>47</v>
      </c>
    </row>
    <row r="183" spans="1:21" x14ac:dyDescent="0.25">
      <c r="A183" t="s">
        <v>21</v>
      </c>
      <c r="B183">
        <v>1001036</v>
      </c>
      <c r="C183" s="1">
        <v>45792</v>
      </c>
      <c r="D183">
        <v>1</v>
      </c>
      <c r="E183">
        <v>8</v>
      </c>
      <c r="F183">
        <v>999</v>
      </c>
      <c r="G183" t="s">
        <v>22</v>
      </c>
      <c r="J183">
        <v>24480519</v>
      </c>
      <c r="K183" t="s">
        <v>32</v>
      </c>
      <c r="L183">
        <v>800054249</v>
      </c>
      <c r="M183" t="s">
        <v>33</v>
      </c>
      <c r="N183">
        <v>0</v>
      </c>
      <c r="O183">
        <v>51518</v>
      </c>
      <c r="P183">
        <v>0</v>
      </c>
      <c r="Q183" t="s">
        <v>193</v>
      </c>
      <c r="R183" t="s">
        <v>31</v>
      </c>
      <c r="S183">
        <v>2025</v>
      </c>
      <c r="T183">
        <v>800054249</v>
      </c>
      <c r="U183" t="s">
        <v>33</v>
      </c>
    </row>
    <row r="184" spans="1:21" x14ac:dyDescent="0.25">
      <c r="A184" t="s">
        <v>21</v>
      </c>
      <c r="B184">
        <v>1001037</v>
      </c>
      <c r="C184" s="1">
        <v>45792</v>
      </c>
      <c r="D184">
        <v>1</v>
      </c>
      <c r="E184">
        <v>1</v>
      </c>
      <c r="F184">
        <v>999</v>
      </c>
      <c r="G184" t="s">
        <v>22</v>
      </c>
      <c r="J184">
        <v>24480501</v>
      </c>
      <c r="K184" t="s">
        <v>35</v>
      </c>
      <c r="L184">
        <v>800102891</v>
      </c>
      <c r="M184" t="s">
        <v>36</v>
      </c>
      <c r="N184">
        <v>0</v>
      </c>
      <c r="O184">
        <v>125988</v>
      </c>
      <c r="P184">
        <v>0</v>
      </c>
      <c r="Q184" t="s">
        <v>128</v>
      </c>
      <c r="R184" t="s">
        <v>31</v>
      </c>
      <c r="S184">
        <v>2025</v>
      </c>
      <c r="T184">
        <v>800102891</v>
      </c>
      <c r="U184" t="s">
        <v>36</v>
      </c>
    </row>
    <row r="185" spans="1:21" x14ac:dyDescent="0.25">
      <c r="A185" t="s">
        <v>21</v>
      </c>
      <c r="B185">
        <v>1001034</v>
      </c>
      <c r="C185" s="1">
        <v>45792</v>
      </c>
      <c r="D185">
        <v>1</v>
      </c>
      <c r="E185">
        <v>6</v>
      </c>
      <c r="F185">
        <v>999</v>
      </c>
      <c r="G185" t="s">
        <v>22</v>
      </c>
      <c r="J185">
        <v>24480512</v>
      </c>
      <c r="K185" t="s">
        <v>123</v>
      </c>
      <c r="L185">
        <v>891200513</v>
      </c>
      <c r="M185" t="s">
        <v>124</v>
      </c>
      <c r="N185">
        <v>0</v>
      </c>
      <c r="O185">
        <v>6750</v>
      </c>
      <c r="P185">
        <v>0</v>
      </c>
      <c r="Q185" t="s">
        <v>246</v>
      </c>
      <c r="R185" t="s">
        <v>31</v>
      </c>
      <c r="S185">
        <v>2025</v>
      </c>
      <c r="T185">
        <v>891200513</v>
      </c>
      <c r="U185" t="s">
        <v>124</v>
      </c>
    </row>
    <row r="186" spans="1:21" x14ac:dyDescent="0.25">
      <c r="A186" t="s">
        <v>21</v>
      </c>
      <c r="B186">
        <v>1001033</v>
      </c>
      <c r="C186" s="1">
        <v>45792</v>
      </c>
      <c r="D186">
        <v>1</v>
      </c>
      <c r="E186">
        <v>3</v>
      </c>
      <c r="F186">
        <v>999</v>
      </c>
      <c r="G186" t="s">
        <v>22</v>
      </c>
      <c r="J186">
        <v>24480505</v>
      </c>
      <c r="K186" t="s">
        <v>82</v>
      </c>
      <c r="L186">
        <v>891200461</v>
      </c>
      <c r="M186" t="s">
        <v>29</v>
      </c>
      <c r="N186">
        <v>0</v>
      </c>
      <c r="O186">
        <v>10479</v>
      </c>
      <c r="P186">
        <v>0</v>
      </c>
      <c r="Q186" t="s">
        <v>160</v>
      </c>
      <c r="R186" t="s">
        <v>31</v>
      </c>
      <c r="S186">
        <v>2025</v>
      </c>
      <c r="T186">
        <v>891200461</v>
      </c>
      <c r="U186" t="s">
        <v>29</v>
      </c>
    </row>
    <row r="187" spans="1:21" x14ac:dyDescent="0.25">
      <c r="A187" t="s">
        <v>21</v>
      </c>
      <c r="B187">
        <v>1001032</v>
      </c>
      <c r="C187" s="1">
        <v>45792</v>
      </c>
      <c r="D187">
        <v>1</v>
      </c>
      <c r="E187">
        <v>2</v>
      </c>
      <c r="F187">
        <v>999</v>
      </c>
      <c r="G187" t="s">
        <v>22</v>
      </c>
      <c r="J187">
        <v>24480517</v>
      </c>
      <c r="K187" t="s">
        <v>46</v>
      </c>
      <c r="L187">
        <v>891201645</v>
      </c>
      <c r="M187" t="s">
        <v>47</v>
      </c>
      <c r="N187">
        <v>0</v>
      </c>
      <c r="O187">
        <v>15032</v>
      </c>
      <c r="P187">
        <v>0</v>
      </c>
      <c r="Q187" t="s">
        <v>122</v>
      </c>
      <c r="R187" t="s">
        <v>31</v>
      </c>
      <c r="S187">
        <v>2025</v>
      </c>
      <c r="T187">
        <v>891201645</v>
      </c>
      <c r="U187" t="s">
        <v>47</v>
      </c>
    </row>
    <row r="188" spans="1:21" x14ac:dyDescent="0.25">
      <c r="A188" t="s">
        <v>21</v>
      </c>
      <c r="B188">
        <v>1001031</v>
      </c>
      <c r="C188" s="1">
        <v>45792</v>
      </c>
      <c r="D188">
        <v>1</v>
      </c>
      <c r="E188">
        <v>4</v>
      </c>
      <c r="F188">
        <v>999</v>
      </c>
      <c r="G188" t="s">
        <v>22</v>
      </c>
      <c r="J188">
        <v>24480510</v>
      </c>
      <c r="K188" t="s">
        <v>66</v>
      </c>
      <c r="L188">
        <v>800102912</v>
      </c>
      <c r="M188" t="s">
        <v>57</v>
      </c>
      <c r="N188">
        <v>0</v>
      </c>
      <c r="O188">
        <v>10192</v>
      </c>
      <c r="P188">
        <v>0</v>
      </c>
      <c r="Q188" t="s">
        <v>572</v>
      </c>
      <c r="R188" t="s">
        <v>31</v>
      </c>
      <c r="S188">
        <v>2025</v>
      </c>
      <c r="T188">
        <v>800102912</v>
      </c>
      <c r="U188" t="s">
        <v>57</v>
      </c>
    </row>
    <row r="189" spans="1:21" x14ac:dyDescent="0.25">
      <c r="A189" t="s">
        <v>21</v>
      </c>
      <c r="B189">
        <v>1001031</v>
      </c>
      <c r="C189" s="1">
        <v>45792</v>
      </c>
      <c r="D189">
        <v>1</v>
      </c>
      <c r="E189">
        <v>4</v>
      </c>
      <c r="F189">
        <v>999</v>
      </c>
      <c r="G189" t="s">
        <v>22</v>
      </c>
      <c r="J189">
        <v>24480509</v>
      </c>
      <c r="K189" t="s">
        <v>56</v>
      </c>
      <c r="L189">
        <v>800102912</v>
      </c>
      <c r="M189" t="s">
        <v>57</v>
      </c>
      <c r="N189">
        <v>0</v>
      </c>
      <c r="O189">
        <v>1927</v>
      </c>
      <c r="P189">
        <v>0</v>
      </c>
      <c r="Q189" t="s">
        <v>572</v>
      </c>
      <c r="R189" t="s">
        <v>31</v>
      </c>
      <c r="S189">
        <v>2025</v>
      </c>
      <c r="T189">
        <v>800102912</v>
      </c>
      <c r="U189" t="s">
        <v>57</v>
      </c>
    </row>
    <row r="190" spans="1:21" x14ac:dyDescent="0.25">
      <c r="A190" t="s">
        <v>21</v>
      </c>
      <c r="B190">
        <v>1001049</v>
      </c>
      <c r="C190" s="1">
        <v>45793</v>
      </c>
      <c r="D190">
        <v>1</v>
      </c>
      <c r="E190">
        <v>8</v>
      </c>
      <c r="F190">
        <v>999</v>
      </c>
      <c r="G190" t="s">
        <v>22</v>
      </c>
      <c r="J190">
        <v>24480519</v>
      </c>
      <c r="K190" t="s">
        <v>32</v>
      </c>
      <c r="L190">
        <v>800054249</v>
      </c>
      <c r="M190" t="s">
        <v>33</v>
      </c>
      <c r="N190">
        <v>10303706</v>
      </c>
      <c r="O190">
        <v>0</v>
      </c>
      <c r="P190">
        <v>51518</v>
      </c>
      <c r="Q190" t="s">
        <v>179</v>
      </c>
      <c r="R190" t="s">
        <v>31</v>
      </c>
      <c r="S190">
        <v>2025</v>
      </c>
      <c r="T190">
        <v>900579315</v>
      </c>
      <c r="U190" t="s">
        <v>44</v>
      </c>
    </row>
    <row r="191" spans="1:21" x14ac:dyDescent="0.25">
      <c r="A191" t="s">
        <v>21</v>
      </c>
      <c r="B191">
        <v>3000295</v>
      </c>
      <c r="C191" s="1">
        <v>45796</v>
      </c>
      <c r="D191">
        <v>3</v>
      </c>
      <c r="E191">
        <v>3</v>
      </c>
      <c r="F191">
        <v>999</v>
      </c>
      <c r="G191" t="s">
        <v>22</v>
      </c>
      <c r="J191">
        <v>24480506</v>
      </c>
      <c r="K191" t="s">
        <v>28</v>
      </c>
      <c r="L191">
        <v>891200461</v>
      </c>
      <c r="M191" t="s">
        <v>29</v>
      </c>
      <c r="N191">
        <v>650000</v>
      </c>
      <c r="O191">
        <v>0</v>
      </c>
      <c r="P191">
        <v>6500</v>
      </c>
      <c r="Q191" t="s">
        <v>378</v>
      </c>
      <c r="R191" t="s">
        <v>151</v>
      </c>
      <c r="S191">
        <v>2025</v>
      </c>
      <c r="T191">
        <v>89004807</v>
      </c>
      <c r="U191" t="s">
        <v>364</v>
      </c>
    </row>
    <row r="192" spans="1:21" x14ac:dyDescent="0.25">
      <c r="A192" t="s">
        <v>21</v>
      </c>
      <c r="B192">
        <v>2000137</v>
      </c>
      <c r="C192" s="1">
        <v>45796</v>
      </c>
      <c r="D192">
        <v>2</v>
      </c>
      <c r="E192">
        <v>2</v>
      </c>
      <c r="F192">
        <v>999</v>
      </c>
      <c r="G192" t="s">
        <v>22</v>
      </c>
      <c r="J192">
        <v>24480518</v>
      </c>
      <c r="K192" t="s">
        <v>75</v>
      </c>
      <c r="L192">
        <v>891201645</v>
      </c>
      <c r="M192" t="s">
        <v>47</v>
      </c>
      <c r="N192">
        <v>210000</v>
      </c>
      <c r="O192">
        <v>0</v>
      </c>
      <c r="P192">
        <v>2100</v>
      </c>
      <c r="Q192" t="s">
        <v>415</v>
      </c>
      <c r="R192" t="s">
        <v>49</v>
      </c>
      <c r="S192">
        <v>2025</v>
      </c>
      <c r="T192">
        <v>1122782339</v>
      </c>
      <c r="U192" t="s">
        <v>416</v>
      </c>
    </row>
    <row r="193" spans="1:21" x14ac:dyDescent="0.25">
      <c r="A193" t="s">
        <v>21</v>
      </c>
      <c r="B193">
        <v>3000294</v>
      </c>
      <c r="C193" s="1">
        <v>45796</v>
      </c>
      <c r="D193">
        <v>3</v>
      </c>
      <c r="E193">
        <v>3</v>
      </c>
      <c r="F193">
        <v>999</v>
      </c>
      <c r="G193" t="s">
        <v>22</v>
      </c>
      <c r="J193">
        <v>24480505</v>
      </c>
      <c r="K193" t="s">
        <v>82</v>
      </c>
      <c r="L193">
        <v>891200461</v>
      </c>
      <c r="M193" t="s">
        <v>29</v>
      </c>
      <c r="N193">
        <v>838000</v>
      </c>
      <c r="O193">
        <v>0</v>
      </c>
      <c r="P193">
        <v>8380</v>
      </c>
      <c r="Q193" t="s">
        <v>544</v>
      </c>
      <c r="R193" t="s">
        <v>151</v>
      </c>
      <c r="S193">
        <v>2025</v>
      </c>
      <c r="T193">
        <v>89004807</v>
      </c>
      <c r="U193" t="s">
        <v>364</v>
      </c>
    </row>
    <row r="194" spans="1:21" x14ac:dyDescent="0.25">
      <c r="A194" t="s">
        <v>21</v>
      </c>
      <c r="B194">
        <v>2000140</v>
      </c>
      <c r="C194" s="1">
        <v>45797</v>
      </c>
      <c r="D194">
        <v>2</v>
      </c>
      <c r="E194">
        <v>2</v>
      </c>
      <c r="F194">
        <v>999</v>
      </c>
      <c r="G194" t="s">
        <v>22</v>
      </c>
      <c r="J194">
        <v>24480517</v>
      </c>
      <c r="K194" t="s">
        <v>46</v>
      </c>
      <c r="L194">
        <v>891201645</v>
      </c>
      <c r="M194" t="s">
        <v>47</v>
      </c>
      <c r="N194">
        <v>782906</v>
      </c>
      <c r="O194">
        <v>0</v>
      </c>
      <c r="P194">
        <v>7829</v>
      </c>
      <c r="Q194" t="s">
        <v>202</v>
      </c>
      <c r="R194" t="s">
        <v>49</v>
      </c>
      <c r="S194">
        <v>2025</v>
      </c>
      <c r="T194">
        <v>12960193</v>
      </c>
      <c r="U194" t="s">
        <v>50</v>
      </c>
    </row>
    <row r="195" spans="1:21" x14ac:dyDescent="0.25">
      <c r="A195" t="s">
        <v>21</v>
      </c>
      <c r="B195">
        <v>1001077</v>
      </c>
      <c r="C195" s="1">
        <v>45797</v>
      </c>
      <c r="D195">
        <v>1</v>
      </c>
      <c r="E195">
        <v>8</v>
      </c>
      <c r="F195">
        <v>999</v>
      </c>
      <c r="G195" t="s">
        <v>22</v>
      </c>
      <c r="J195">
        <v>24480519</v>
      </c>
      <c r="K195" t="s">
        <v>32</v>
      </c>
      <c r="L195">
        <v>800054249</v>
      </c>
      <c r="M195" t="s">
        <v>33</v>
      </c>
      <c r="N195">
        <v>300000</v>
      </c>
      <c r="O195">
        <v>0</v>
      </c>
      <c r="P195">
        <v>1800</v>
      </c>
      <c r="Q195" t="s">
        <v>413</v>
      </c>
      <c r="R195" t="s">
        <v>31</v>
      </c>
      <c r="S195">
        <v>2025</v>
      </c>
      <c r="T195">
        <v>36752028</v>
      </c>
      <c r="U195" t="s">
        <v>414</v>
      </c>
    </row>
    <row r="196" spans="1:21" x14ac:dyDescent="0.25">
      <c r="A196" t="s">
        <v>21</v>
      </c>
      <c r="B196">
        <v>2000139</v>
      </c>
      <c r="C196" s="1">
        <v>45797</v>
      </c>
      <c r="D196">
        <v>2</v>
      </c>
      <c r="E196">
        <v>2</v>
      </c>
      <c r="F196">
        <v>999</v>
      </c>
      <c r="G196" t="s">
        <v>22</v>
      </c>
      <c r="J196">
        <v>24480517</v>
      </c>
      <c r="K196" t="s">
        <v>46</v>
      </c>
      <c r="L196">
        <v>891201645</v>
      </c>
      <c r="M196" t="s">
        <v>47</v>
      </c>
      <c r="N196">
        <v>269048</v>
      </c>
      <c r="O196">
        <v>0</v>
      </c>
      <c r="P196">
        <v>2690</v>
      </c>
      <c r="Q196" t="s">
        <v>466</v>
      </c>
      <c r="R196" t="s">
        <v>49</v>
      </c>
      <c r="S196">
        <v>2025</v>
      </c>
      <c r="T196">
        <v>12960193</v>
      </c>
      <c r="U196" t="s">
        <v>50</v>
      </c>
    </row>
    <row r="197" spans="1:21" x14ac:dyDescent="0.25">
      <c r="A197" t="s">
        <v>21</v>
      </c>
      <c r="B197">
        <v>7000087</v>
      </c>
      <c r="C197" s="1">
        <v>45799</v>
      </c>
      <c r="D197">
        <v>7</v>
      </c>
      <c r="E197">
        <v>7</v>
      </c>
      <c r="F197">
        <v>999</v>
      </c>
      <c r="G197" t="s">
        <v>22</v>
      </c>
      <c r="J197">
        <v>24480515</v>
      </c>
      <c r="K197" t="s">
        <v>52</v>
      </c>
      <c r="L197">
        <v>800252922</v>
      </c>
      <c r="M197" t="s">
        <v>53</v>
      </c>
      <c r="N197">
        <v>200000</v>
      </c>
      <c r="O197">
        <v>0</v>
      </c>
      <c r="P197">
        <v>1000</v>
      </c>
      <c r="Q197" t="s">
        <v>518</v>
      </c>
      <c r="R197" t="s">
        <v>64</v>
      </c>
      <c r="S197">
        <v>2025</v>
      </c>
      <c r="T197">
        <v>15572024</v>
      </c>
      <c r="U197" t="s">
        <v>187</v>
      </c>
    </row>
    <row r="198" spans="1:21" x14ac:dyDescent="0.25">
      <c r="A198" t="s">
        <v>21</v>
      </c>
      <c r="B198">
        <v>8000068</v>
      </c>
      <c r="C198" s="1">
        <v>45804</v>
      </c>
      <c r="D198">
        <v>8</v>
      </c>
      <c r="E198">
        <v>1</v>
      </c>
      <c r="F198">
        <v>999</v>
      </c>
      <c r="G198" t="s">
        <v>22</v>
      </c>
      <c r="J198">
        <v>24480501</v>
      </c>
      <c r="K198" t="s">
        <v>35</v>
      </c>
      <c r="L198">
        <v>800102891</v>
      </c>
      <c r="M198" t="s">
        <v>36</v>
      </c>
      <c r="N198">
        <v>6594803</v>
      </c>
      <c r="O198">
        <v>0</v>
      </c>
      <c r="P198">
        <v>65948</v>
      </c>
      <c r="Q198" t="s">
        <v>643</v>
      </c>
      <c r="R198" t="s">
        <v>200</v>
      </c>
      <c r="S198">
        <v>2025</v>
      </c>
      <c r="T198">
        <v>18145427</v>
      </c>
      <c r="U198" t="s">
        <v>70</v>
      </c>
    </row>
    <row r="199" spans="1:21" x14ac:dyDescent="0.25">
      <c r="A199" t="s">
        <v>21</v>
      </c>
      <c r="B199">
        <v>2000175</v>
      </c>
      <c r="C199" s="1">
        <v>45806</v>
      </c>
      <c r="D199">
        <v>2</v>
      </c>
      <c r="E199">
        <v>2</v>
      </c>
      <c r="F199">
        <v>999</v>
      </c>
      <c r="G199" t="s">
        <v>22</v>
      </c>
      <c r="J199">
        <v>24480518</v>
      </c>
      <c r="K199" t="s">
        <v>75</v>
      </c>
      <c r="L199">
        <v>891201645</v>
      </c>
      <c r="M199" t="s">
        <v>47</v>
      </c>
      <c r="N199">
        <v>2752000</v>
      </c>
      <c r="O199">
        <v>0</v>
      </c>
      <c r="P199">
        <v>27520</v>
      </c>
      <c r="Q199" t="s">
        <v>273</v>
      </c>
      <c r="R199" t="s">
        <v>49</v>
      </c>
      <c r="S199">
        <v>2025</v>
      </c>
      <c r="T199">
        <v>1122783552</v>
      </c>
      <c r="U199" t="s">
        <v>274</v>
      </c>
    </row>
    <row r="200" spans="1:21" x14ac:dyDescent="0.25">
      <c r="A200" t="s">
        <v>93</v>
      </c>
      <c r="B200">
        <v>1002190</v>
      </c>
      <c r="C200" s="1">
        <v>45806</v>
      </c>
      <c r="D200">
        <v>1</v>
      </c>
      <c r="E200">
        <v>1</v>
      </c>
      <c r="F200">
        <v>999</v>
      </c>
      <c r="G200" t="s">
        <v>22</v>
      </c>
      <c r="J200">
        <v>24480501</v>
      </c>
      <c r="K200" t="s">
        <v>35</v>
      </c>
      <c r="L200">
        <v>800102891</v>
      </c>
      <c r="M200" t="s">
        <v>36</v>
      </c>
      <c r="N200">
        <v>2142985</v>
      </c>
      <c r="O200">
        <v>0</v>
      </c>
      <c r="P200">
        <v>21430</v>
      </c>
      <c r="Q200" t="s">
        <v>342</v>
      </c>
      <c r="R200" t="s">
        <v>38</v>
      </c>
      <c r="S200">
        <v>2025</v>
      </c>
      <c r="T200">
        <v>18127828</v>
      </c>
      <c r="U200" t="s">
        <v>205</v>
      </c>
    </row>
    <row r="201" spans="1:21" x14ac:dyDescent="0.25">
      <c r="A201" t="s">
        <v>21</v>
      </c>
      <c r="B201">
        <v>2000173</v>
      </c>
      <c r="C201" s="1">
        <v>45806</v>
      </c>
      <c r="D201">
        <v>2</v>
      </c>
      <c r="E201">
        <v>2</v>
      </c>
      <c r="F201">
        <v>999</v>
      </c>
      <c r="G201" t="s">
        <v>22</v>
      </c>
      <c r="J201">
        <v>24480518</v>
      </c>
      <c r="K201" t="s">
        <v>75</v>
      </c>
      <c r="L201">
        <v>891201645</v>
      </c>
      <c r="M201" t="s">
        <v>47</v>
      </c>
      <c r="N201">
        <v>250000</v>
      </c>
      <c r="O201">
        <v>0</v>
      </c>
      <c r="P201">
        <v>2500</v>
      </c>
      <c r="Q201" t="s">
        <v>524</v>
      </c>
      <c r="R201" t="s">
        <v>49</v>
      </c>
      <c r="S201">
        <v>2025</v>
      </c>
      <c r="T201">
        <v>1122783259</v>
      </c>
      <c r="U201" t="s">
        <v>525</v>
      </c>
    </row>
    <row r="202" spans="1:21" x14ac:dyDescent="0.25">
      <c r="A202" t="s">
        <v>21</v>
      </c>
      <c r="B202">
        <v>1001139</v>
      </c>
      <c r="C202" s="1">
        <v>45811</v>
      </c>
      <c r="D202">
        <v>1</v>
      </c>
      <c r="E202">
        <v>7</v>
      </c>
      <c r="F202">
        <v>999</v>
      </c>
      <c r="G202" t="s">
        <v>22</v>
      </c>
      <c r="J202">
        <v>24480515</v>
      </c>
      <c r="K202" t="s">
        <v>52</v>
      </c>
      <c r="L202">
        <v>800252922</v>
      </c>
      <c r="M202" t="s">
        <v>53</v>
      </c>
      <c r="N202">
        <v>300000</v>
      </c>
      <c r="O202">
        <v>0</v>
      </c>
      <c r="P202">
        <v>2400</v>
      </c>
      <c r="Q202" t="s">
        <v>87</v>
      </c>
      <c r="R202" t="s">
        <v>38</v>
      </c>
      <c r="S202">
        <v>2025</v>
      </c>
      <c r="T202">
        <v>900502634</v>
      </c>
      <c r="U202" t="s">
        <v>55</v>
      </c>
    </row>
    <row r="203" spans="1:21" x14ac:dyDescent="0.25">
      <c r="A203" t="s">
        <v>21</v>
      </c>
      <c r="B203">
        <v>1001143</v>
      </c>
      <c r="C203" s="1">
        <v>45811</v>
      </c>
      <c r="D203">
        <v>1</v>
      </c>
      <c r="E203">
        <v>4</v>
      </c>
      <c r="F203">
        <v>999</v>
      </c>
      <c r="G203" t="s">
        <v>22</v>
      </c>
      <c r="J203">
        <v>24480510</v>
      </c>
      <c r="K203" t="s">
        <v>66</v>
      </c>
      <c r="L203">
        <v>800102912</v>
      </c>
      <c r="M203" t="s">
        <v>57</v>
      </c>
      <c r="N203">
        <v>376050</v>
      </c>
      <c r="O203">
        <v>0</v>
      </c>
      <c r="P203">
        <v>2632</v>
      </c>
      <c r="Q203" t="s">
        <v>129</v>
      </c>
      <c r="R203" t="s">
        <v>38</v>
      </c>
      <c r="S203">
        <v>2025</v>
      </c>
      <c r="T203">
        <v>900620983</v>
      </c>
      <c r="U203" t="s">
        <v>68</v>
      </c>
    </row>
    <row r="204" spans="1:21" x14ac:dyDescent="0.25">
      <c r="A204" t="s">
        <v>21</v>
      </c>
      <c r="B204">
        <v>1001141</v>
      </c>
      <c r="C204" s="1">
        <v>45811</v>
      </c>
      <c r="D204">
        <v>1</v>
      </c>
      <c r="E204">
        <v>4</v>
      </c>
      <c r="F204">
        <v>999</v>
      </c>
      <c r="G204" t="s">
        <v>22</v>
      </c>
      <c r="J204">
        <v>24480510</v>
      </c>
      <c r="K204" t="s">
        <v>66</v>
      </c>
      <c r="L204">
        <v>800102912</v>
      </c>
      <c r="M204" t="s">
        <v>57</v>
      </c>
      <c r="N204">
        <v>1520000</v>
      </c>
      <c r="O204">
        <v>0</v>
      </c>
      <c r="P204">
        <v>10640</v>
      </c>
      <c r="Q204" t="s">
        <v>218</v>
      </c>
      <c r="R204" t="s">
        <v>38</v>
      </c>
      <c r="S204">
        <v>2025</v>
      </c>
      <c r="T204">
        <v>900502634</v>
      </c>
      <c r="U204" t="s">
        <v>55</v>
      </c>
    </row>
    <row r="205" spans="1:21" x14ac:dyDescent="0.25">
      <c r="A205" t="s">
        <v>21</v>
      </c>
      <c r="B205">
        <v>1001142</v>
      </c>
      <c r="C205" s="1">
        <v>45811</v>
      </c>
      <c r="D205">
        <v>1</v>
      </c>
      <c r="E205">
        <v>7</v>
      </c>
      <c r="F205">
        <v>999</v>
      </c>
      <c r="G205" t="s">
        <v>22</v>
      </c>
      <c r="J205">
        <v>24480515</v>
      </c>
      <c r="K205" t="s">
        <v>52</v>
      </c>
      <c r="L205">
        <v>800252922</v>
      </c>
      <c r="M205" t="s">
        <v>53</v>
      </c>
      <c r="N205">
        <v>1520000</v>
      </c>
      <c r="O205">
        <v>0</v>
      </c>
      <c r="P205">
        <v>12160</v>
      </c>
      <c r="Q205" t="s">
        <v>526</v>
      </c>
      <c r="R205" t="s">
        <v>38</v>
      </c>
      <c r="S205">
        <v>2025</v>
      </c>
      <c r="T205">
        <v>900502634</v>
      </c>
      <c r="U205" t="s">
        <v>55</v>
      </c>
    </row>
    <row r="206" spans="1:21" x14ac:dyDescent="0.25">
      <c r="A206" t="s">
        <v>21</v>
      </c>
      <c r="B206">
        <v>1001144</v>
      </c>
      <c r="C206" s="1">
        <v>45811</v>
      </c>
      <c r="D206">
        <v>1</v>
      </c>
      <c r="E206">
        <v>4</v>
      </c>
      <c r="F206">
        <v>999</v>
      </c>
      <c r="G206" t="s">
        <v>22</v>
      </c>
      <c r="J206">
        <v>24480510</v>
      </c>
      <c r="K206" t="s">
        <v>66</v>
      </c>
      <c r="L206">
        <v>800102912</v>
      </c>
      <c r="M206" t="s">
        <v>57</v>
      </c>
      <c r="N206">
        <v>400000</v>
      </c>
      <c r="O206">
        <v>0</v>
      </c>
      <c r="P206">
        <v>2800</v>
      </c>
      <c r="Q206" t="s">
        <v>586</v>
      </c>
      <c r="R206" t="s">
        <v>38</v>
      </c>
      <c r="S206">
        <v>2025</v>
      </c>
      <c r="T206">
        <v>900620983</v>
      </c>
      <c r="U206" t="s">
        <v>68</v>
      </c>
    </row>
    <row r="207" spans="1:21" x14ac:dyDescent="0.25">
      <c r="A207" t="s">
        <v>21</v>
      </c>
      <c r="B207">
        <v>1001147</v>
      </c>
      <c r="C207" s="1">
        <v>45811</v>
      </c>
      <c r="D207">
        <v>1</v>
      </c>
      <c r="E207">
        <v>7</v>
      </c>
      <c r="F207">
        <v>999</v>
      </c>
      <c r="G207" t="s">
        <v>22</v>
      </c>
      <c r="J207">
        <v>24480515</v>
      </c>
      <c r="K207" t="s">
        <v>52</v>
      </c>
      <c r="L207">
        <v>800252922</v>
      </c>
      <c r="M207" t="s">
        <v>53</v>
      </c>
      <c r="N207">
        <v>400000</v>
      </c>
      <c r="O207">
        <v>0</v>
      </c>
      <c r="P207">
        <v>3200</v>
      </c>
      <c r="Q207" t="s">
        <v>659</v>
      </c>
      <c r="R207" t="s">
        <v>38</v>
      </c>
      <c r="S207">
        <v>2025</v>
      </c>
      <c r="T207">
        <v>900620983</v>
      </c>
      <c r="U207" t="s">
        <v>68</v>
      </c>
    </row>
    <row r="208" spans="1:21" x14ac:dyDescent="0.25">
      <c r="A208" t="s">
        <v>21</v>
      </c>
      <c r="B208">
        <v>3000345</v>
      </c>
      <c r="C208" s="1">
        <v>45813</v>
      </c>
      <c r="D208">
        <v>3</v>
      </c>
      <c r="E208">
        <v>3</v>
      </c>
      <c r="F208">
        <v>999</v>
      </c>
      <c r="G208" t="s">
        <v>22</v>
      </c>
      <c r="J208">
        <v>24480506</v>
      </c>
      <c r="K208" t="s">
        <v>28</v>
      </c>
      <c r="L208">
        <v>891200461</v>
      </c>
      <c r="M208" t="s">
        <v>29</v>
      </c>
      <c r="N208">
        <v>537000</v>
      </c>
      <c r="O208">
        <v>0</v>
      </c>
      <c r="P208">
        <v>4296</v>
      </c>
      <c r="Q208" t="s">
        <v>433</v>
      </c>
      <c r="R208" t="s">
        <v>84</v>
      </c>
      <c r="S208">
        <v>2025</v>
      </c>
      <c r="T208">
        <v>18189441</v>
      </c>
      <c r="U208" t="s">
        <v>293</v>
      </c>
    </row>
    <row r="209" spans="1:21" x14ac:dyDescent="0.25">
      <c r="A209" t="s">
        <v>21</v>
      </c>
      <c r="B209">
        <v>1001208</v>
      </c>
      <c r="C209" s="1">
        <v>45817</v>
      </c>
      <c r="D209">
        <v>1</v>
      </c>
      <c r="E209">
        <v>2</v>
      </c>
      <c r="F209">
        <v>999</v>
      </c>
      <c r="G209" t="s">
        <v>22</v>
      </c>
      <c r="J209">
        <v>24480518</v>
      </c>
      <c r="K209" t="s">
        <v>75</v>
      </c>
      <c r="L209">
        <v>891201645</v>
      </c>
      <c r="M209" t="s">
        <v>47</v>
      </c>
      <c r="N209">
        <v>270000</v>
      </c>
      <c r="O209">
        <v>0</v>
      </c>
      <c r="P209">
        <v>2700</v>
      </c>
      <c r="Q209" t="s">
        <v>112</v>
      </c>
      <c r="R209" t="s">
        <v>38</v>
      </c>
      <c r="S209">
        <v>2025</v>
      </c>
      <c r="T209">
        <v>900437268</v>
      </c>
      <c r="U209" t="s">
        <v>39</v>
      </c>
    </row>
    <row r="210" spans="1:21" x14ac:dyDescent="0.25">
      <c r="A210" t="s">
        <v>93</v>
      </c>
      <c r="B210">
        <v>4001223</v>
      </c>
      <c r="C210" s="1">
        <v>45817</v>
      </c>
      <c r="D210">
        <v>4</v>
      </c>
      <c r="E210">
        <v>4</v>
      </c>
      <c r="F210">
        <v>999</v>
      </c>
      <c r="G210" t="s">
        <v>22</v>
      </c>
      <c r="J210">
        <v>24480510</v>
      </c>
      <c r="K210" t="s">
        <v>66</v>
      </c>
      <c r="L210">
        <v>800102912</v>
      </c>
      <c r="M210" t="s">
        <v>57</v>
      </c>
      <c r="N210">
        <v>350000</v>
      </c>
      <c r="O210">
        <v>0</v>
      </c>
      <c r="P210">
        <v>2100</v>
      </c>
      <c r="Q210" t="s">
        <v>426</v>
      </c>
      <c r="R210" t="s">
        <v>165</v>
      </c>
      <c r="S210">
        <v>2025</v>
      </c>
      <c r="T210">
        <v>18153926</v>
      </c>
      <c r="U210" t="s">
        <v>104</v>
      </c>
    </row>
    <row r="211" spans="1:21" x14ac:dyDescent="0.25">
      <c r="A211" t="s">
        <v>21</v>
      </c>
      <c r="B211">
        <v>1001207</v>
      </c>
      <c r="C211" s="1">
        <v>45817</v>
      </c>
      <c r="D211">
        <v>1</v>
      </c>
      <c r="E211">
        <v>1</v>
      </c>
      <c r="F211">
        <v>999</v>
      </c>
      <c r="G211" t="s">
        <v>22</v>
      </c>
      <c r="J211">
        <v>24480501</v>
      </c>
      <c r="K211" t="s">
        <v>35</v>
      </c>
      <c r="L211">
        <v>800102891</v>
      </c>
      <c r="M211" t="s">
        <v>36</v>
      </c>
      <c r="N211">
        <v>480000</v>
      </c>
      <c r="O211">
        <v>0</v>
      </c>
      <c r="P211">
        <v>4800</v>
      </c>
      <c r="Q211" t="s">
        <v>519</v>
      </c>
      <c r="R211" t="s">
        <v>38</v>
      </c>
      <c r="S211">
        <v>2025</v>
      </c>
      <c r="T211">
        <v>900437268</v>
      </c>
      <c r="U211" t="s">
        <v>39</v>
      </c>
    </row>
    <row r="212" spans="1:21" x14ac:dyDescent="0.25">
      <c r="A212" t="s">
        <v>21</v>
      </c>
      <c r="B212">
        <v>1001232</v>
      </c>
      <c r="C212" s="1">
        <v>45818</v>
      </c>
      <c r="D212">
        <v>1</v>
      </c>
      <c r="E212">
        <v>1</v>
      </c>
      <c r="F212">
        <v>999</v>
      </c>
      <c r="G212" t="s">
        <v>22</v>
      </c>
      <c r="J212">
        <v>24480501</v>
      </c>
      <c r="K212" t="s">
        <v>35</v>
      </c>
      <c r="L212">
        <v>800102891</v>
      </c>
      <c r="M212" t="s">
        <v>36</v>
      </c>
      <c r="N212">
        <v>528000</v>
      </c>
      <c r="O212">
        <v>0</v>
      </c>
      <c r="P212">
        <v>5280</v>
      </c>
      <c r="Q212" t="s">
        <v>291</v>
      </c>
      <c r="R212" t="s">
        <v>200</v>
      </c>
      <c r="S212">
        <v>2025</v>
      </c>
      <c r="T212">
        <v>1010081868</v>
      </c>
      <c r="U212" t="s">
        <v>110</v>
      </c>
    </row>
    <row r="213" spans="1:21" x14ac:dyDescent="0.25">
      <c r="A213" t="s">
        <v>21</v>
      </c>
      <c r="B213">
        <v>6000151</v>
      </c>
      <c r="C213" s="1">
        <v>45818</v>
      </c>
      <c r="D213">
        <v>6</v>
      </c>
      <c r="E213">
        <v>6</v>
      </c>
      <c r="F213">
        <v>999</v>
      </c>
      <c r="G213" t="s">
        <v>22</v>
      </c>
      <c r="J213">
        <v>24480512</v>
      </c>
      <c r="K213" t="s">
        <v>123</v>
      </c>
      <c r="L213">
        <v>891200513</v>
      </c>
      <c r="M213" t="s">
        <v>124</v>
      </c>
      <c r="N213">
        <v>1350000</v>
      </c>
      <c r="O213">
        <v>0</v>
      </c>
      <c r="P213">
        <v>6750</v>
      </c>
      <c r="Q213" t="s">
        <v>369</v>
      </c>
      <c r="R213" t="s">
        <v>126</v>
      </c>
      <c r="S213">
        <v>2025</v>
      </c>
      <c r="T213">
        <v>26636874</v>
      </c>
      <c r="U213" t="s">
        <v>127</v>
      </c>
    </row>
    <row r="214" spans="1:21" x14ac:dyDescent="0.25">
      <c r="A214" t="s">
        <v>21</v>
      </c>
      <c r="B214">
        <v>1001271</v>
      </c>
      <c r="C214" s="1">
        <v>45821</v>
      </c>
      <c r="D214">
        <v>1</v>
      </c>
      <c r="E214">
        <v>3</v>
      </c>
      <c r="F214">
        <v>999</v>
      </c>
      <c r="G214" t="s">
        <v>22</v>
      </c>
      <c r="J214">
        <v>24480505</v>
      </c>
      <c r="K214" t="s">
        <v>82</v>
      </c>
      <c r="L214">
        <v>891200461</v>
      </c>
      <c r="M214" t="s">
        <v>29</v>
      </c>
      <c r="N214">
        <v>0</v>
      </c>
      <c r="O214">
        <v>8380</v>
      </c>
      <c r="P214">
        <v>0</v>
      </c>
      <c r="Q214" t="s">
        <v>203</v>
      </c>
      <c r="R214" t="s">
        <v>38</v>
      </c>
      <c r="S214">
        <v>2025</v>
      </c>
      <c r="T214">
        <v>891200461</v>
      </c>
      <c r="U214" t="s">
        <v>29</v>
      </c>
    </row>
    <row r="215" spans="1:21" x14ac:dyDescent="0.25">
      <c r="A215" t="s">
        <v>21</v>
      </c>
      <c r="B215">
        <v>1001274</v>
      </c>
      <c r="C215" s="1">
        <v>45821</v>
      </c>
      <c r="D215">
        <v>1</v>
      </c>
      <c r="E215">
        <v>1</v>
      </c>
      <c r="F215">
        <v>999</v>
      </c>
      <c r="G215" t="s">
        <v>22</v>
      </c>
      <c r="J215">
        <v>24480501</v>
      </c>
      <c r="K215" t="s">
        <v>35</v>
      </c>
      <c r="L215">
        <v>800102891</v>
      </c>
      <c r="M215" t="s">
        <v>36</v>
      </c>
      <c r="N215">
        <v>0</v>
      </c>
      <c r="O215">
        <v>146953</v>
      </c>
      <c r="P215">
        <v>0</v>
      </c>
      <c r="Q215" t="s">
        <v>243</v>
      </c>
      <c r="R215" t="s">
        <v>38</v>
      </c>
      <c r="S215">
        <v>2025</v>
      </c>
      <c r="T215">
        <v>800102891</v>
      </c>
      <c r="U215" t="s">
        <v>36</v>
      </c>
    </row>
    <row r="216" spans="1:21" x14ac:dyDescent="0.25">
      <c r="A216" t="s">
        <v>21</v>
      </c>
      <c r="B216">
        <v>1001259</v>
      </c>
      <c r="C216" s="1">
        <v>45821</v>
      </c>
      <c r="D216">
        <v>1</v>
      </c>
      <c r="E216">
        <v>1</v>
      </c>
      <c r="F216">
        <v>999</v>
      </c>
      <c r="G216" t="s">
        <v>22</v>
      </c>
      <c r="J216">
        <v>24480502</v>
      </c>
      <c r="K216" t="s">
        <v>106</v>
      </c>
      <c r="L216">
        <v>800102891</v>
      </c>
      <c r="M216" t="s">
        <v>36</v>
      </c>
      <c r="N216">
        <v>815388</v>
      </c>
      <c r="O216">
        <v>0</v>
      </c>
      <c r="P216">
        <v>4892</v>
      </c>
      <c r="Q216" t="s">
        <v>247</v>
      </c>
      <c r="R216" t="s">
        <v>38</v>
      </c>
      <c r="S216">
        <v>2025</v>
      </c>
      <c r="T216">
        <v>1006663258</v>
      </c>
      <c r="U216" t="s">
        <v>132</v>
      </c>
    </row>
    <row r="217" spans="1:21" x14ac:dyDescent="0.25">
      <c r="A217" t="s">
        <v>21</v>
      </c>
      <c r="B217">
        <v>1001270</v>
      </c>
      <c r="C217" s="1">
        <v>45821</v>
      </c>
      <c r="D217">
        <v>1</v>
      </c>
      <c r="E217">
        <v>2</v>
      </c>
      <c r="F217">
        <v>999</v>
      </c>
      <c r="G217" t="s">
        <v>22</v>
      </c>
      <c r="J217">
        <v>24480517</v>
      </c>
      <c r="K217" t="s">
        <v>46</v>
      </c>
      <c r="L217">
        <v>891201645</v>
      </c>
      <c r="M217" t="s">
        <v>47</v>
      </c>
      <c r="N217">
        <v>0</v>
      </c>
      <c r="O217">
        <v>10519</v>
      </c>
      <c r="P217">
        <v>0</v>
      </c>
      <c r="Q217" t="s">
        <v>248</v>
      </c>
      <c r="R217" t="s">
        <v>38</v>
      </c>
      <c r="S217">
        <v>2025</v>
      </c>
      <c r="T217">
        <v>891201645</v>
      </c>
      <c r="U217" t="s">
        <v>47</v>
      </c>
    </row>
    <row r="218" spans="1:21" x14ac:dyDescent="0.25">
      <c r="A218" t="s">
        <v>21</v>
      </c>
      <c r="B218">
        <v>1001270</v>
      </c>
      <c r="C218" s="1">
        <v>45821</v>
      </c>
      <c r="D218">
        <v>1</v>
      </c>
      <c r="E218">
        <v>2</v>
      </c>
      <c r="F218">
        <v>999</v>
      </c>
      <c r="G218" t="s">
        <v>22</v>
      </c>
      <c r="J218">
        <v>24480518</v>
      </c>
      <c r="K218" t="s">
        <v>75</v>
      </c>
      <c r="L218">
        <v>891201645</v>
      </c>
      <c r="M218" t="s">
        <v>47</v>
      </c>
      <c r="N218">
        <v>0</v>
      </c>
      <c r="O218">
        <v>37920</v>
      </c>
      <c r="P218">
        <v>0</v>
      </c>
      <c r="Q218" t="s">
        <v>248</v>
      </c>
      <c r="R218" t="s">
        <v>38</v>
      </c>
      <c r="S218">
        <v>2025</v>
      </c>
      <c r="T218">
        <v>891201645</v>
      </c>
      <c r="U218" t="s">
        <v>47</v>
      </c>
    </row>
    <row r="219" spans="1:21" x14ac:dyDescent="0.25">
      <c r="A219" t="s">
        <v>21</v>
      </c>
      <c r="B219">
        <v>1001269</v>
      </c>
      <c r="C219" s="1">
        <v>45821</v>
      </c>
      <c r="D219">
        <v>1</v>
      </c>
      <c r="E219">
        <v>4</v>
      </c>
      <c r="F219">
        <v>999</v>
      </c>
      <c r="G219" t="s">
        <v>22</v>
      </c>
      <c r="J219">
        <v>24480510</v>
      </c>
      <c r="K219" t="s">
        <v>66</v>
      </c>
      <c r="L219">
        <v>800102912</v>
      </c>
      <c r="M219" t="s">
        <v>57</v>
      </c>
      <c r="N219">
        <v>0</v>
      </c>
      <c r="O219">
        <v>7532</v>
      </c>
      <c r="P219">
        <v>0</v>
      </c>
      <c r="Q219" t="s">
        <v>460</v>
      </c>
      <c r="R219" t="s">
        <v>38</v>
      </c>
      <c r="S219">
        <v>2025</v>
      </c>
      <c r="T219">
        <v>800102912</v>
      </c>
      <c r="U219" t="s">
        <v>57</v>
      </c>
    </row>
    <row r="220" spans="1:21" x14ac:dyDescent="0.25">
      <c r="A220" t="s">
        <v>21</v>
      </c>
      <c r="B220">
        <v>1001273</v>
      </c>
      <c r="C220" s="1">
        <v>45821</v>
      </c>
      <c r="D220">
        <v>1</v>
      </c>
      <c r="E220">
        <v>6</v>
      </c>
      <c r="F220">
        <v>999</v>
      </c>
      <c r="G220" t="s">
        <v>22</v>
      </c>
      <c r="J220">
        <v>24480512</v>
      </c>
      <c r="K220" t="s">
        <v>123</v>
      </c>
      <c r="L220">
        <v>891200513</v>
      </c>
      <c r="M220" t="s">
        <v>124</v>
      </c>
      <c r="N220">
        <v>0</v>
      </c>
      <c r="O220">
        <v>6750</v>
      </c>
      <c r="P220">
        <v>0</v>
      </c>
      <c r="Q220" t="s">
        <v>467</v>
      </c>
      <c r="R220" t="s">
        <v>38</v>
      </c>
      <c r="S220">
        <v>2025</v>
      </c>
      <c r="T220">
        <v>891200513</v>
      </c>
      <c r="U220" t="s">
        <v>124</v>
      </c>
    </row>
    <row r="221" spans="1:21" x14ac:dyDescent="0.25">
      <c r="A221" t="s">
        <v>21</v>
      </c>
      <c r="B221">
        <v>1001272</v>
      </c>
      <c r="C221" s="1">
        <v>45821</v>
      </c>
      <c r="D221">
        <v>1</v>
      </c>
      <c r="E221">
        <v>7</v>
      </c>
      <c r="F221">
        <v>999</v>
      </c>
      <c r="G221" t="s">
        <v>22</v>
      </c>
      <c r="J221">
        <v>24480515</v>
      </c>
      <c r="K221" t="s">
        <v>52</v>
      </c>
      <c r="L221">
        <v>800252922</v>
      </c>
      <c r="M221" t="s">
        <v>53</v>
      </c>
      <c r="N221">
        <v>0</v>
      </c>
      <c r="O221">
        <v>4200</v>
      </c>
      <c r="P221">
        <v>0</v>
      </c>
      <c r="Q221" t="s">
        <v>511</v>
      </c>
      <c r="R221" t="s">
        <v>38</v>
      </c>
      <c r="S221">
        <v>2025</v>
      </c>
      <c r="T221">
        <v>800252922</v>
      </c>
      <c r="U221" t="s">
        <v>53</v>
      </c>
    </row>
    <row r="222" spans="1:21" x14ac:dyDescent="0.25">
      <c r="A222" t="s">
        <v>21</v>
      </c>
      <c r="B222">
        <v>1001275</v>
      </c>
      <c r="C222" s="1">
        <v>45821</v>
      </c>
      <c r="D222">
        <v>1</v>
      </c>
      <c r="E222">
        <v>8</v>
      </c>
      <c r="F222">
        <v>999</v>
      </c>
      <c r="G222" t="s">
        <v>22</v>
      </c>
      <c r="J222">
        <v>24480519</v>
      </c>
      <c r="K222" t="s">
        <v>32</v>
      </c>
      <c r="L222">
        <v>800054249</v>
      </c>
      <c r="M222" t="s">
        <v>33</v>
      </c>
      <c r="N222">
        <v>0</v>
      </c>
      <c r="O222">
        <v>53318</v>
      </c>
      <c r="P222">
        <v>0</v>
      </c>
      <c r="Q222" t="s">
        <v>513</v>
      </c>
      <c r="R222" t="s">
        <v>38</v>
      </c>
      <c r="S222">
        <v>2025</v>
      </c>
      <c r="T222">
        <v>800054249</v>
      </c>
      <c r="U222" t="s">
        <v>33</v>
      </c>
    </row>
    <row r="223" spans="1:21" x14ac:dyDescent="0.25">
      <c r="A223" t="s">
        <v>21</v>
      </c>
      <c r="B223">
        <v>1001271</v>
      </c>
      <c r="C223" s="1">
        <v>45821</v>
      </c>
      <c r="D223">
        <v>1</v>
      </c>
      <c r="E223">
        <v>3</v>
      </c>
      <c r="F223">
        <v>999</v>
      </c>
      <c r="G223" t="s">
        <v>22</v>
      </c>
      <c r="J223">
        <v>24480506</v>
      </c>
      <c r="K223" t="s">
        <v>28</v>
      </c>
      <c r="L223">
        <v>891200461</v>
      </c>
      <c r="M223" t="s">
        <v>29</v>
      </c>
      <c r="N223">
        <v>0</v>
      </c>
      <c r="O223">
        <v>6500</v>
      </c>
      <c r="P223">
        <v>0</v>
      </c>
      <c r="Q223" t="s">
        <v>203</v>
      </c>
      <c r="R223" t="s">
        <v>38</v>
      </c>
      <c r="S223">
        <v>2025</v>
      </c>
      <c r="T223">
        <v>891200461</v>
      </c>
      <c r="U223" t="s">
        <v>29</v>
      </c>
    </row>
    <row r="224" spans="1:21" x14ac:dyDescent="0.25">
      <c r="A224" t="s">
        <v>21</v>
      </c>
      <c r="B224">
        <v>1001295</v>
      </c>
      <c r="C224" s="1">
        <v>45825</v>
      </c>
      <c r="D224">
        <v>1</v>
      </c>
      <c r="E224">
        <v>1</v>
      </c>
      <c r="F224">
        <v>999</v>
      </c>
      <c r="G224" t="s">
        <v>22</v>
      </c>
      <c r="J224">
        <v>24480501</v>
      </c>
      <c r="K224" t="s">
        <v>35</v>
      </c>
      <c r="L224">
        <v>800102891</v>
      </c>
      <c r="M224" t="s">
        <v>36</v>
      </c>
      <c r="N224">
        <v>5200000</v>
      </c>
      <c r="O224">
        <v>0</v>
      </c>
      <c r="P224">
        <v>52000</v>
      </c>
      <c r="Q224" t="s">
        <v>358</v>
      </c>
      <c r="R224" t="s">
        <v>38</v>
      </c>
      <c r="S224">
        <v>2025</v>
      </c>
      <c r="T224">
        <v>1124861395</v>
      </c>
      <c r="U224" t="s">
        <v>359</v>
      </c>
    </row>
    <row r="225" spans="1:21" x14ac:dyDescent="0.25">
      <c r="A225" t="s">
        <v>21</v>
      </c>
      <c r="B225">
        <v>1001301</v>
      </c>
      <c r="C225" s="1">
        <v>45826</v>
      </c>
      <c r="D225">
        <v>1</v>
      </c>
      <c r="E225">
        <v>8</v>
      </c>
      <c r="F225">
        <v>999</v>
      </c>
      <c r="G225" t="s">
        <v>22</v>
      </c>
      <c r="J225">
        <v>24480519</v>
      </c>
      <c r="K225" t="s">
        <v>32</v>
      </c>
      <c r="L225">
        <v>800054249</v>
      </c>
      <c r="M225" t="s">
        <v>33</v>
      </c>
      <c r="N225">
        <v>10303706</v>
      </c>
      <c r="O225">
        <v>0</v>
      </c>
      <c r="P225">
        <v>51519</v>
      </c>
      <c r="Q225" t="s">
        <v>465</v>
      </c>
      <c r="R225" t="s">
        <v>38</v>
      </c>
      <c r="S225">
        <v>2025</v>
      </c>
      <c r="T225">
        <v>900579315</v>
      </c>
      <c r="U225" t="s">
        <v>44</v>
      </c>
    </row>
    <row r="226" spans="1:21" x14ac:dyDescent="0.25">
      <c r="A226" t="s">
        <v>21</v>
      </c>
      <c r="B226">
        <v>5000047</v>
      </c>
      <c r="C226" s="1">
        <v>45828</v>
      </c>
      <c r="D226">
        <v>5</v>
      </c>
      <c r="E226">
        <v>5</v>
      </c>
      <c r="F226">
        <v>999</v>
      </c>
      <c r="G226" t="s">
        <v>22</v>
      </c>
      <c r="J226">
        <v>24480508</v>
      </c>
      <c r="K226" t="s">
        <v>23</v>
      </c>
      <c r="L226">
        <v>800102896</v>
      </c>
      <c r="M226" t="s">
        <v>24</v>
      </c>
      <c r="N226">
        <v>900000</v>
      </c>
      <c r="O226">
        <v>0</v>
      </c>
      <c r="P226">
        <v>9000</v>
      </c>
      <c r="Q226" t="s">
        <v>482</v>
      </c>
      <c r="R226" t="s">
        <v>320</v>
      </c>
      <c r="S226">
        <v>2025</v>
      </c>
      <c r="T226">
        <v>93395345</v>
      </c>
      <c r="U226" t="s">
        <v>483</v>
      </c>
    </row>
    <row r="227" spans="1:21" x14ac:dyDescent="0.25">
      <c r="A227" t="s">
        <v>21</v>
      </c>
      <c r="B227">
        <v>1001336</v>
      </c>
      <c r="C227" s="1">
        <v>45832</v>
      </c>
      <c r="D227">
        <v>1</v>
      </c>
      <c r="E227">
        <v>1</v>
      </c>
      <c r="F227">
        <v>999</v>
      </c>
      <c r="G227" t="s">
        <v>22</v>
      </c>
      <c r="J227">
        <v>24480501</v>
      </c>
      <c r="K227" t="s">
        <v>35</v>
      </c>
      <c r="L227">
        <v>800102891</v>
      </c>
      <c r="M227" t="s">
        <v>36</v>
      </c>
      <c r="N227">
        <v>6594803</v>
      </c>
      <c r="O227">
        <v>0</v>
      </c>
      <c r="P227">
        <v>65948</v>
      </c>
      <c r="Q227" t="s">
        <v>115</v>
      </c>
      <c r="R227" t="s">
        <v>38</v>
      </c>
      <c r="S227">
        <v>2025</v>
      </c>
      <c r="T227">
        <v>18145427</v>
      </c>
      <c r="U227" t="s">
        <v>70</v>
      </c>
    </row>
    <row r="228" spans="1:21" x14ac:dyDescent="0.25">
      <c r="A228" t="s">
        <v>21</v>
      </c>
      <c r="B228">
        <v>5000051</v>
      </c>
      <c r="C228" s="1">
        <v>45832</v>
      </c>
      <c r="D228">
        <v>5</v>
      </c>
      <c r="E228">
        <v>5</v>
      </c>
      <c r="F228">
        <v>999</v>
      </c>
      <c r="G228" t="s">
        <v>22</v>
      </c>
      <c r="J228">
        <v>24480508</v>
      </c>
      <c r="K228" t="s">
        <v>23</v>
      </c>
      <c r="L228">
        <v>800102896</v>
      </c>
      <c r="M228" t="s">
        <v>24</v>
      </c>
      <c r="N228">
        <v>800000</v>
      </c>
      <c r="O228">
        <v>0</v>
      </c>
      <c r="P228">
        <v>8000</v>
      </c>
      <c r="Q228" t="s">
        <v>360</v>
      </c>
      <c r="R228" t="s">
        <v>320</v>
      </c>
      <c r="S228">
        <v>2025</v>
      </c>
      <c r="T228">
        <v>1123321998</v>
      </c>
      <c r="U228" t="s">
        <v>27</v>
      </c>
    </row>
    <row r="229" spans="1:21" x14ac:dyDescent="0.25">
      <c r="A229" t="s">
        <v>21</v>
      </c>
      <c r="B229">
        <v>7000107</v>
      </c>
      <c r="C229" s="1">
        <v>45832</v>
      </c>
      <c r="D229">
        <v>7</v>
      </c>
      <c r="E229">
        <v>7</v>
      </c>
      <c r="F229">
        <v>999</v>
      </c>
      <c r="G229" t="s">
        <v>22</v>
      </c>
      <c r="J229">
        <v>24480515</v>
      </c>
      <c r="K229" t="s">
        <v>52</v>
      </c>
      <c r="L229">
        <v>800252922</v>
      </c>
      <c r="M229" t="s">
        <v>53</v>
      </c>
      <c r="N229">
        <v>200000</v>
      </c>
      <c r="O229">
        <v>0</v>
      </c>
      <c r="P229">
        <v>1000</v>
      </c>
      <c r="Q229" t="s">
        <v>393</v>
      </c>
      <c r="R229" t="s">
        <v>64</v>
      </c>
      <c r="S229">
        <v>2025</v>
      </c>
      <c r="T229">
        <v>15572024</v>
      </c>
      <c r="U229" t="s">
        <v>187</v>
      </c>
    </row>
    <row r="230" spans="1:21" x14ac:dyDescent="0.25">
      <c r="A230" t="s">
        <v>21</v>
      </c>
      <c r="B230">
        <v>7000108</v>
      </c>
      <c r="C230" s="1">
        <v>45833</v>
      </c>
      <c r="D230">
        <v>7</v>
      </c>
      <c r="E230">
        <v>7</v>
      </c>
      <c r="F230">
        <v>999</v>
      </c>
      <c r="G230" t="s">
        <v>22</v>
      </c>
      <c r="J230">
        <v>24480515</v>
      </c>
      <c r="K230" t="s">
        <v>52</v>
      </c>
      <c r="L230">
        <v>800252922</v>
      </c>
      <c r="M230" t="s">
        <v>53</v>
      </c>
      <c r="N230">
        <v>100000</v>
      </c>
      <c r="O230">
        <v>0</v>
      </c>
      <c r="P230">
        <v>500</v>
      </c>
      <c r="Q230" t="s">
        <v>113</v>
      </c>
      <c r="R230" t="s">
        <v>64</v>
      </c>
      <c r="S230">
        <v>2025</v>
      </c>
      <c r="T230">
        <v>18147224</v>
      </c>
      <c r="U230" t="s">
        <v>114</v>
      </c>
    </row>
    <row r="231" spans="1:21" x14ac:dyDescent="0.25">
      <c r="A231" t="s">
        <v>21</v>
      </c>
      <c r="B231">
        <v>7000108</v>
      </c>
      <c r="C231" s="1">
        <v>45833</v>
      </c>
      <c r="D231">
        <v>7</v>
      </c>
      <c r="E231">
        <v>7</v>
      </c>
      <c r="F231">
        <v>999</v>
      </c>
      <c r="G231" t="s">
        <v>22</v>
      </c>
      <c r="J231">
        <v>24480515</v>
      </c>
      <c r="K231" t="s">
        <v>52</v>
      </c>
      <c r="L231">
        <v>800252922</v>
      </c>
      <c r="M231" t="s">
        <v>53</v>
      </c>
      <c r="N231">
        <v>100000</v>
      </c>
      <c r="O231">
        <v>0</v>
      </c>
      <c r="P231">
        <v>500</v>
      </c>
      <c r="Q231" t="s">
        <v>113</v>
      </c>
      <c r="R231" t="s">
        <v>64</v>
      </c>
      <c r="S231">
        <v>2025</v>
      </c>
      <c r="T231">
        <v>1004677850</v>
      </c>
      <c r="U231" t="s">
        <v>91</v>
      </c>
    </row>
    <row r="232" spans="1:21" x14ac:dyDescent="0.25">
      <c r="A232" t="s">
        <v>93</v>
      </c>
      <c r="B232">
        <v>4001303</v>
      </c>
      <c r="C232" s="1">
        <v>45833</v>
      </c>
      <c r="D232">
        <v>4</v>
      </c>
      <c r="E232">
        <v>4</v>
      </c>
      <c r="F232">
        <v>999</v>
      </c>
      <c r="G232" t="s">
        <v>22</v>
      </c>
      <c r="J232">
        <v>24480510</v>
      </c>
      <c r="K232" t="s">
        <v>66</v>
      </c>
      <c r="L232">
        <v>800102912</v>
      </c>
      <c r="M232" t="s">
        <v>57</v>
      </c>
      <c r="N232">
        <v>450000</v>
      </c>
      <c r="O232">
        <v>0</v>
      </c>
      <c r="P232">
        <v>2700</v>
      </c>
      <c r="Q232" t="s">
        <v>192</v>
      </c>
      <c r="R232" t="s">
        <v>165</v>
      </c>
      <c r="S232">
        <v>2025</v>
      </c>
      <c r="T232">
        <v>18153926</v>
      </c>
      <c r="U232" t="s">
        <v>104</v>
      </c>
    </row>
    <row r="233" spans="1:21" x14ac:dyDescent="0.25">
      <c r="A233" t="s">
        <v>21</v>
      </c>
      <c r="B233">
        <v>7000108</v>
      </c>
      <c r="C233" s="1">
        <v>45833</v>
      </c>
      <c r="D233">
        <v>7</v>
      </c>
      <c r="E233">
        <v>7</v>
      </c>
      <c r="F233">
        <v>999</v>
      </c>
      <c r="G233" t="s">
        <v>22</v>
      </c>
      <c r="J233">
        <v>24480515</v>
      </c>
      <c r="K233" t="s">
        <v>52</v>
      </c>
      <c r="L233">
        <v>800252922</v>
      </c>
      <c r="M233" t="s">
        <v>53</v>
      </c>
      <c r="N233">
        <v>274000</v>
      </c>
      <c r="O233">
        <v>0</v>
      </c>
      <c r="P233">
        <v>1370</v>
      </c>
      <c r="Q233" t="s">
        <v>113</v>
      </c>
      <c r="R233" t="s">
        <v>64</v>
      </c>
      <c r="S233">
        <v>2025</v>
      </c>
      <c r="T233">
        <v>18162933</v>
      </c>
      <c r="U233" t="s">
        <v>242</v>
      </c>
    </row>
    <row r="234" spans="1:21" x14ac:dyDescent="0.25">
      <c r="A234" t="s">
        <v>21</v>
      </c>
      <c r="B234">
        <v>7000108</v>
      </c>
      <c r="C234" s="1">
        <v>45833</v>
      </c>
      <c r="D234">
        <v>7</v>
      </c>
      <c r="E234">
        <v>7</v>
      </c>
      <c r="F234">
        <v>999</v>
      </c>
      <c r="G234" t="s">
        <v>22</v>
      </c>
      <c r="J234">
        <v>24480515</v>
      </c>
      <c r="K234" t="s">
        <v>52</v>
      </c>
      <c r="L234">
        <v>800252922</v>
      </c>
      <c r="M234" t="s">
        <v>53</v>
      </c>
      <c r="N234">
        <v>553000</v>
      </c>
      <c r="O234">
        <v>0</v>
      </c>
      <c r="P234">
        <v>2765</v>
      </c>
      <c r="Q234" t="s">
        <v>113</v>
      </c>
      <c r="R234" t="s">
        <v>64</v>
      </c>
      <c r="S234">
        <v>2025</v>
      </c>
      <c r="T234">
        <v>1121507475</v>
      </c>
      <c r="U234" t="s">
        <v>341</v>
      </c>
    </row>
    <row r="235" spans="1:21" x14ac:dyDescent="0.25">
      <c r="A235" t="s">
        <v>21</v>
      </c>
      <c r="B235">
        <v>7000108</v>
      </c>
      <c r="C235" s="1">
        <v>45833</v>
      </c>
      <c r="D235">
        <v>7</v>
      </c>
      <c r="E235">
        <v>7</v>
      </c>
      <c r="F235">
        <v>999</v>
      </c>
      <c r="G235" t="s">
        <v>22</v>
      </c>
      <c r="J235">
        <v>24480515</v>
      </c>
      <c r="K235" t="s">
        <v>52</v>
      </c>
      <c r="L235">
        <v>800252922</v>
      </c>
      <c r="M235" t="s">
        <v>53</v>
      </c>
      <c r="N235">
        <v>741000</v>
      </c>
      <c r="O235">
        <v>0</v>
      </c>
      <c r="P235">
        <v>4446</v>
      </c>
      <c r="Q235" t="s">
        <v>510</v>
      </c>
      <c r="R235" t="s">
        <v>64</v>
      </c>
      <c r="S235">
        <v>2025</v>
      </c>
      <c r="T235">
        <v>79842226</v>
      </c>
      <c r="U235" t="s">
        <v>134</v>
      </c>
    </row>
    <row r="236" spans="1:21" x14ac:dyDescent="0.25">
      <c r="A236" t="s">
        <v>21</v>
      </c>
      <c r="B236">
        <v>1001359</v>
      </c>
      <c r="C236" s="1">
        <v>45834</v>
      </c>
      <c r="D236">
        <v>1</v>
      </c>
      <c r="E236">
        <v>3</v>
      </c>
      <c r="F236">
        <v>999</v>
      </c>
      <c r="G236" t="s">
        <v>22</v>
      </c>
      <c r="J236">
        <v>24480506</v>
      </c>
      <c r="K236" t="s">
        <v>28</v>
      </c>
      <c r="L236">
        <v>891200461</v>
      </c>
      <c r="M236" t="s">
        <v>29</v>
      </c>
      <c r="N236">
        <v>623333</v>
      </c>
      <c r="O236">
        <v>0</v>
      </c>
      <c r="P236">
        <v>6233</v>
      </c>
      <c r="Q236" t="s">
        <v>96</v>
      </c>
      <c r="R236" t="s">
        <v>38</v>
      </c>
      <c r="S236">
        <v>2025</v>
      </c>
      <c r="T236">
        <v>80274379</v>
      </c>
      <c r="U236" t="s">
        <v>97</v>
      </c>
    </row>
    <row r="237" spans="1:21" x14ac:dyDescent="0.25">
      <c r="A237" t="s">
        <v>21</v>
      </c>
      <c r="B237">
        <v>1001359</v>
      </c>
      <c r="C237" s="1">
        <v>45834</v>
      </c>
      <c r="D237">
        <v>1</v>
      </c>
      <c r="E237">
        <v>2</v>
      </c>
      <c r="F237">
        <v>999</v>
      </c>
      <c r="G237" t="s">
        <v>22</v>
      </c>
      <c r="J237">
        <v>24480518</v>
      </c>
      <c r="K237" t="s">
        <v>75</v>
      </c>
      <c r="L237">
        <v>891201645</v>
      </c>
      <c r="M237" t="s">
        <v>47</v>
      </c>
      <c r="N237">
        <v>623333</v>
      </c>
      <c r="O237">
        <v>0</v>
      </c>
      <c r="P237">
        <v>6233</v>
      </c>
      <c r="Q237" t="s">
        <v>96</v>
      </c>
      <c r="R237" t="s">
        <v>38</v>
      </c>
      <c r="S237">
        <v>2025</v>
      </c>
      <c r="T237">
        <v>80274379</v>
      </c>
      <c r="U237" t="s">
        <v>97</v>
      </c>
    </row>
    <row r="238" spans="1:21" x14ac:dyDescent="0.25">
      <c r="A238" t="s">
        <v>21</v>
      </c>
      <c r="B238">
        <v>1001359</v>
      </c>
      <c r="C238" s="1">
        <v>45834</v>
      </c>
      <c r="D238">
        <v>1</v>
      </c>
      <c r="E238">
        <v>4</v>
      </c>
      <c r="F238">
        <v>999</v>
      </c>
      <c r="G238" t="s">
        <v>22</v>
      </c>
      <c r="J238">
        <v>24480510</v>
      </c>
      <c r="K238" t="s">
        <v>66</v>
      </c>
      <c r="L238">
        <v>800102912</v>
      </c>
      <c r="M238" t="s">
        <v>57</v>
      </c>
      <c r="N238">
        <v>623333</v>
      </c>
      <c r="O238">
        <v>0</v>
      </c>
      <c r="P238">
        <v>4363</v>
      </c>
      <c r="Q238" t="s">
        <v>96</v>
      </c>
      <c r="R238" t="s">
        <v>38</v>
      </c>
      <c r="S238">
        <v>2025</v>
      </c>
      <c r="T238">
        <v>80274379</v>
      </c>
      <c r="U238" t="s">
        <v>97</v>
      </c>
    </row>
    <row r="239" spans="1:21" x14ac:dyDescent="0.25">
      <c r="A239" t="s">
        <v>21</v>
      </c>
      <c r="B239">
        <v>1001359</v>
      </c>
      <c r="C239" s="1">
        <v>45834</v>
      </c>
      <c r="D239">
        <v>1</v>
      </c>
      <c r="E239">
        <v>1</v>
      </c>
      <c r="F239">
        <v>999</v>
      </c>
      <c r="G239" t="s">
        <v>22</v>
      </c>
      <c r="J239">
        <v>24480501</v>
      </c>
      <c r="K239" t="s">
        <v>35</v>
      </c>
      <c r="L239">
        <v>800102891</v>
      </c>
      <c r="M239" t="s">
        <v>36</v>
      </c>
      <c r="N239">
        <v>623333</v>
      </c>
      <c r="O239">
        <v>0</v>
      </c>
      <c r="P239">
        <v>6233</v>
      </c>
      <c r="Q239" t="s">
        <v>96</v>
      </c>
      <c r="R239" t="s">
        <v>38</v>
      </c>
      <c r="S239">
        <v>2025</v>
      </c>
      <c r="T239">
        <v>80274379</v>
      </c>
      <c r="U239" t="s">
        <v>97</v>
      </c>
    </row>
    <row r="240" spans="1:21" x14ac:dyDescent="0.25">
      <c r="A240" t="s">
        <v>21</v>
      </c>
      <c r="B240">
        <v>1001359</v>
      </c>
      <c r="C240" s="1">
        <v>45834</v>
      </c>
      <c r="D240">
        <v>1</v>
      </c>
      <c r="E240">
        <v>5</v>
      </c>
      <c r="F240">
        <v>999</v>
      </c>
      <c r="G240" t="s">
        <v>22</v>
      </c>
      <c r="J240">
        <v>24480508</v>
      </c>
      <c r="K240" t="s">
        <v>23</v>
      </c>
      <c r="L240">
        <v>800102896</v>
      </c>
      <c r="M240" t="s">
        <v>24</v>
      </c>
      <c r="N240">
        <v>623333</v>
      </c>
      <c r="O240">
        <v>0</v>
      </c>
      <c r="P240">
        <v>6233</v>
      </c>
      <c r="Q240" t="s">
        <v>96</v>
      </c>
      <c r="R240" t="s">
        <v>38</v>
      </c>
      <c r="S240">
        <v>2025</v>
      </c>
      <c r="T240">
        <v>80274379</v>
      </c>
      <c r="U240" t="s">
        <v>97</v>
      </c>
    </row>
    <row r="241" spans="1:21" x14ac:dyDescent="0.25">
      <c r="A241" t="s">
        <v>21</v>
      </c>
      <c r="B241">
        <v>1001359</v>
      </c>
      <c r="C241" s="1">
        <v>45834</v>
      </c>
      <c r="D241">
        <v>1</v>
      </c>
      <c r="E241">
        <v>8</v>
      </c>
      <c r="F241">
        <v>999</v>
      </c>
      <c r="G241" t="s">
        <v>22</v>
      </c>
      <c r="J241">
        <v>24480519</v>
      </c>
      <c r="K241" t="s">
        <v>32</v>
      </c>
      <c r="L241">
        <v>800054249</v>
      </c>
      <c r="M241" t="s">
        <v>33</v>
      </c>
      <c r="N241">
        <v>623334</v>
      </c>
      <c r="O241">
        <v>0</v>
      </c>
      <c r="P241">
        <v>4987</v>
      </c>
      <c r="Q241" t="s">
        <v>96</v>
      </c>
      <c r="R241" t="s">
        <v>38</v>
      </c>
      <c r="S241">
        <v>2025</v>
      </c>
      <c r="T241">
        <v>80274379</v>
      </c>
      <c r="U241" t="s">
        <v>97</v>
      </c>
    </row>
    <row r="242" spans="1:21" x14ac:dyDescent="0.25">
      <c r="A242" t="s">
        <v>21</v>
      </c>
      <c r="B242">
        <v>1001359</v>
      </c>
      <c r="C242" s="1">
        <v>45834</v>
      </c>
      <c r="D242">
        <v>1</v>
      </c>
      <c r="E242">
        <v>7</v>
      </c>
      <c r="F242">
        <v>999</v>
      </c>
      <c r="G242" t="s">
        <v>22</v>
      </c>
      <c r="J242">
        <v>24480515</v>
      </c>
      <c r="K242" t="s">
        <v>52</v>
      </c>
      <c r="L242">
        <v>800252922</v>
      </c>
      <c r="M242" t="s">
        <v>53</v>
      </c>
      <c r="N242">
        <v>623666</v>
      </c>
      <c r="O242">
        <v>0</v>
      </c>
      <c r="P242">
        <v>4987</v>
      </c>
      <c r="Q242" t="s">
        <v>96</v>
      </c>
      <c r="R242" t="s">
        <v>38</v>
      </c>
      <c r="S242">
        <v>2025</v>
      </c>
      <c r="T242">
        <v>80274379</v>
      </c>
      <c r="U242" t="s">
        <v>97</v>
      </c>
    </row>
    <row r="243" spans="1:21" x14ac:dyDescent="0.25">
      <c r="A243" t="s">
        <v>21</v>
      </c>
      <c r="B243">
        <v>1001359</v>
      </c>
      <c r="C243" s="1">
        <v>45834</v>
      </c>
      <c r="D243">
        <v>1</v>
      </c>
      <c r="E243">
        <v>6</v>
      </c>
      <c r="F243">
        <v>999</v>
      </c>
      <c r="G243" t="s">
        <v>22</v>
      </c>
      <c r="J243">
        <v>24480512</v>
      </c>
      <c r="K243" t="s">
        <v>123</v>
      </c>
      <c r="L243">
        <v>891200513</v>
      </c>
      <c r="M243" t="s">
        <v>124</v>
      </c>
      <c r="N243">
        <v>623333</v>
      </c>
      <c r="O243">
        <v>0</v>
      </c>
      <c r="P243">
        <v>6233</v>
      </c>
      <c r="Q243" t="s">
        <v>96</v>
      </c>
      <c r="R243" t="s">
        <v>38</v>
      </c>
      <c r="S243">
        <v>2025</v>
      </c>
      <c r="T243">
        <v>80274379</v>
      </c>
      <c r="U243" t="s">
        <v>97</v>
      </c>
    </row>
    <row r="244" spans="1:21" x14ac:dyDescent="0.25">
      <c r="A244" t="s">
        <v>93</v>
      </c>
      <c r="B244">
        <v>4001414</v>
      </c>
      <c r="C244" s="1">
        <v>45835</v>
      </c>
      <c r="D244">
        <v>4</v>
      </c>
      <c r="E244">
        <v>4</v>
      </c>
      <c r="F244">
        <v>999</v>
      </c>
      <c r="G244" t="s">
        <v>22</v>
      </c>
      <c r="J244">
        <v>24480509</v>
      </c>
      <c r="K244" t="s">
        <v>56</v>
      </c>
      <c r="L244">
        <v>800102912</v>
      </c>
      <c r="M244" t="s">
        <v>57</v>
      </c>
      <c r="N244">
        <v>457100</v>
      </c>
      <c r="O244">
        <v>0</v>
      </c>
      <c r="P244">
        <v>2057</v>
      </c>
      <c r="Q244" t="s">
        <v>294</v>
      </c>
      <c r="R244" t="s">
        <v>59</v>
      </c>
      <c r="S244">
        <v>2025</v>
      </c>
      <c r="T244">
        <v>1123320083</v>
      </c>
      <c r="U244" t="s">
        <v>95</v>
      </c>
    </row>
    <row r="245" spans="1:21" x14ac:dyDescent="0.25">
      <c r="A245" t="s">
        <v>21</v>
      </c>
      <c r="B245">
        <v>4000212</v>
      </c>
      <c r="C245" s="1">
        <v>45835</v>
      </c>
      <c r="D245">
        <v>4</v>
      </c>
      <c r="E245">
        <v>4</v>
      </c>
      <c r="F245">
        <v>999</v>
      </c>
      <c r="G245" t="s">
        <v>22</v>
      </c>
      <c r="J245">
        <v>24480510</v>
      </c>
      <c r="K245" t="s">
        <v>66</v>
      </c>
      <c r="L245">
        <v>800102912</v>
      </c>
      <c r="M245" t="s">
        <v>57</v>
      </c>
      <c r="N245">
        <v>593000</v>
      </c>
      <c r="O245">
        <v>0</v>
      </c>
      <c r="P245">
        <v>2669</v>
      </c>
      <c r="Q245" t="s">
        <v>302</v>
      </c>
      <c r="R245" t="s">
        <v>59</v>
      </c>
      <c r="S245">
        <v>2025</v>
      </c>
      <c r="T245">
        <v>66808199</v>
      </c>
      <c r="U245" t="s">
        <v>166</v>
      </c>
    </row>
    <row r="246" spans="1:21" x14ac:dyDescent="0.25">
      <c r="A246" t="s">
        <v>93</v>
      </c>
      <c r="B246">
        <v>1002687</v>
      </c>
      <c r="C246" s="1">
        <v>45835</v>
      </c>
      <c r="D246">
        <v>1</v>
      </c>
      <c r="E246">
        <v>1</v>
      </c>
      <c r="F246">
        <v>999</v>
      </c>
      <c r="G246" t="s">
        <v>22</v>
      </c>
      <c r="J246">
        <v>24480501</v>
      </c>
      <c r="K246" t="s">
        <v>35</v>
      </c>
      <c r="L246">
        <v>800102891</v>
      </c>
      <c r="M246" t="s">
        <v>36</v>
      </c>
      <c r="N246">
        <v>2142985</v>
      </c>
      <c r="O246">
        <v>0</v>
      </c>
      <c r="P246">
        <v>21430</v>
      </c>
      <c r="Q246" t="s">
        <v>325</v>
      </c>
      <c r="R246" t="s">
        <v>38</v>
      </c>
      <c r="S246">
        <v>2025</v>
      </c>
      <c r="T246">
        <v>18127828</v>
      </c>
      <c r="U246" t="s">
        <v>205</v>
      </c>
    </row>
    <row r="247" spans="1:21" x14ac:dyDescent="0.25">
      <c r="A247" t="s">
        <v>21</v>
      </c>
      <c r="B247">
        <v>1001394</v>
      </c>
      <c r="C247" s="1">
        <v>45840</v>
      </c>
      <c r="D247">
        <v>1</v>
      </c>
      <c r="E247">
        <v>7</v>
      </c>
      <c r="F247">
        <v>999</v>
      </c>
      <c r="G247" t="s">
        <v>22</v>
      </c>
      <c r="J247">
        <v>24480515</v>
      </c>
      <c r="K247" t="s">
        <v>52</v>
      </c>
      <c r="L247">
        <v>800252922</v>
      </c>
      <c r="M247" t="s">
        <v>53</v>
      </c>
      <c r="N247">
        <v>400000</v>
      </c>
      <c r="O247">
        <v>0</v>
      </c>
      <c r="P247">
        <v>3200</v>
      </c>
      <c r="Q247" t="s">
        <v>207</v>
      </c>
      <c r="R247" t="s">
        <v>38</v>
      </c>
      <c r="S247">
        <v>2025</v>
      </c>
      <c r="T247">
        <v>900620983</v>
      </c>
      <c r="U247" t="s">
        <v>68</v>
      </c>
    </row>
    <row r="248" spans="1:21" x14ac:dyDescent="0.25">
      <c r="A248" t="s">
        <v>21</v>
      </c>
      <c r="B248">
        <v>1001392</v>
      </c>
      <c r="C248" s="1">
        <v>45840</v>
      </c>
      <c r="D248">
        <v>1</v>
      </c>
      <c r="E248">
        <v>7</v>
      </c>
      <c r="F248">
        <v>999</v>
      </c>
      <c r="G248" t="s">
        <v>22</v>
      </c>
      <c r="J248">
        <v>24480515</v>
      </c>
      <c r="K248" t="s">
        <v>52</v>
      </c>
      <c r="L248">
        <v>800252922</v>
      </c>
      <c r="M248" t="s">
        <v>53</v>
      </c>
      <c r="N248">
        <v>380000</v>
      </c>
      <c r="O248">
        <v>0</v>
      </c>
      <c r="P248">
        <v>3040</v>
      </c>
      <c r="Q248" t="s">
        <v>391</v>
      </c>
      <c r="R248" t="s">
        <v>38</v>
      </c>
      <c r="S248">
        <v>2025</v>
      </c>
      <c r="T248">
        <v>900502634</v>
      </c>
      <c r="U248" t="s">
        <v>55</v>
      </c>
    </row>
    <row r="249" spans="1:21" x14ac:dyDescent="0.25">
      <c r="A249" t="s">
        <v>21</v>
      </c>
      <c r="B249">
        <v>1001393</v>
      </c>
      <c r="C249" s="1">
        <v>45840</v>
      </c>
      <c r="D249">
        <v>1</v>
      </c>
      <c r="E249">
        <v>7</v>
      </c>
      <c r="F249">
        <v>999</v>
      </c>
      <c r="G249" t="s">
        <v>22</v>
      </c>
      <c r="J249">
        <v>24480515</v>
      </c>
      <c r="K249" t="s">
        <v>52</v>
      </c>
      <c r="L249">
        <v>800252922</v>
      </c>
      <c r="M249" t="s">
        <v>53</v>
      </c>
      <c r="N249">
        <v>100000</v>
      </c>
      <c r="O249">
        <v>0</v>
      </c>
      <c r="P249">
        <v>800</v>
      </c>
      <c r="Q249" t="s">
        <v>484</v>
      </c>
      <c r="R249" t="s">
        <v>38</v>
      </c>
      <c r="S249">
        <v>2025</v>
      </c>
      <c r="T249">
        <v>900502634</v>
      </c>
      <c r="U249" t="s">
        <v>55</v>
      </c>
    </row>
    <row r="250" spans="1:21" x14ac:dyDescent="0.25">
      <c r="A250" t="s">
        <v>21</v>
      </c>
      <c r="B250">
        <v>1001391</v>
      </c>
      <c r="C250" s="1">
        <v>45840</v>
      </c>
      <c r="D250">
        <v>1</v>
      </c>
      <c r="E250">
        <v>4</v>
      </c>
      <c r="F250">
        <v>999</v>
      </c>
      <c r="G250" t="s">
        <v>22</v>
      </c>
      <c r="J250">
        <v>24480510</v>
      </c>
      <c r="K250" t="s">
        <v>66</v>
      </c>
      <c r="L250">
        <v>800102912</v>
      </c>
      <c r="M250" t="s">
        <v>57</v>
      </c>
      <c r="N250">
        <v>380000</v>
      </c>
      <c r="O250">
        <v>0</v>
      </c>
      <c r="P250">
        <v>2660</v>
      </c>
      <c r="Q250" t="s">
        <v>598</v>
      </c>
      <c r="R250" t="s">
        <v>38</v>
      </c>
      <c r="S250">
        <v>2025</v>
      </c>
      <c r="T250">
        <v>900502634</v>
      </c>
      <c r="U250" t="s">
        <v>55</v>
      </c>
    </row>
    <row r="251" spans="1:21" x14ac:dyDescent="0.25">
      <c r="A251" t="s">
        <v>21</v>
      </c>
      <c r="B251">
        <v>1001398</v>
      </c>
      <c r="C251" s="1">
        <v>45840</v>
      </c>
      <c r="D251">
        <v>1</v>
      </c>
      <c r="E251">
        <v>4</v>
      </c>
      <c r="F251">
        <v>999</v>
      </c>
      <c r="G251" t="s">
        <v>22</v>
      </c>
      <c r="J251">
        <v>24480510</v>
      </c>
      <c r="K251" t="s">
        <v>66</v>
      </c>
      <c r="L251">
        <v>800102912</v>
      </c>
      <c r="M251" t="s">
        <v>57</v>
      </c>
      <c r="N251">
        <v>400000</v>
      </c>
      <c r="O251">
        <v>0</v>
      </c>
      <c r="P251">
        <v>2800</v>
      </c>
      <c r="Q251" t="s">
        <v>632</v>
      </c>
      <c r="R251" t="s">
        <v>38</v>
      </c>
      <c r="S251">
        <v>2025</v>
      </c>
      <c r="T251">
        <v>900620983</v>
      </c>
      <c r="U251" t="s">
        <v>68</v>
      </c>
    </row>
    <row r="252" spans="1:21" x14ac:dyDescent="0.25">
      <c r="A252" t="s">
        <v>21</v>
      </c>
      <c r="B252">
        <v>1001395</v>
      </c>
      <c r="C252" s="1">
        <v>45840</v>
      </c>
      <c r="D252">
        <v>1</v>
      </c>
      <c r="E252">
        <v>4</v>
      </c>
      <c r="F252">
        <v>999</v>
      </c>
      <c r="G252" t="s">
        <v>22</v>
      </c>
      <c r="J252">
        <v>24480510</v>
      </c>
      <c r="K252" t="s">
        <v>66</v>
      </c>
      <c r="L252">
        <v>800102912</v>
      </c>
      <c r="M252" t="s">
        <v>57</v>
      </c>
      <c r="N252">
        <v>501050</v>
      </c>
      <c r="O252">
        <v>0</v>
      </c>
      <c r="P252">
        <v>3507</v>
      </c>
      <c r="Q252" t="s">
        <v>642</v>
      </c>
      <c r="R252" t="s">
        <v>38</v>
      </c>
      <c r="S252">
        <v>2025</v>
      </c>
      <c r="T252">
        <v>900620983</v>
      </c>
      <c r="U252" t="s">
        <v>68</v>
      </c>
    </row>
    <row r="253" spans="1:21" x14ac:dyDescent="0.25">
      <c r="A253" t="s">
        <v>21</v>
      </c>
      <c r="B253">
        <v>1001420</v>
      </c>
      <c r="C253" s="1">
        <v>45841</v>
      </c>
      <c r="D253">
        <v>1</v>
      </c>
      <c r="E253">
        <v>1</v>
      </c>
      <c r="F253">
        <v>999</v>
      </c>
      <c r="G253" t="s">
        <v>22</v>
      </c>
      <c r="J253">
        <v>24480502</v>
      </c>
      <c r="K253" t="s">
        <v>106</v>
      </c>
      <c r="L253">
        <v>800102891</v>
      </c>
      <c r="M253" t="s">
        <v>36</v>
      </c>
      <c r="N253">
        <v>542231</v>
      </c>
      <c r="O253">
        <v>0</v>
      </c>
      <c r="P253">
        <v>3253</v>
      </c>
      <c r="Q253" t="s">
        <v>145</v>
      </c>
      <c r="R253" t="s">
        <v>38</v>
      </c>
      <c r="S253">
        <v>2025</v>
      </c>
      <c r="T253">
        <v>18125023</v>
      </c>
      <c r="U253" t="s">
        <v>146</v>
      </c>
    </row>
    <row r="254" spans="1:21" x14ac:dyDescent="0.25">
      <c r="A254" t="s">
        <v>21</v>
      </c>
      <c r="B254">
        <v>1001434</v>
      </c>
      <c r="C254" s="1">
        <v>45842</v>
      </c>
      <c r="D254">
        <v>1</v>
      </c>
      <c r="E254">
        <v>1</v>
      </c>
      <c r="F254">
        <v>999</v>
      </c>
      <c r="G254" t="s">
        <v>22</v>
      </c>
      <c r="J254">
        <v>24480501</v>
      </c>
      <c r="K254" t="s">
        <v>35</v>
      </c>
      <c r="L254">
        <v>800102891</v>
      </c>
      <c r="M254" t="s">
        <v>36</v>
      </c>
      <c r="N254">
        <v>505100</v>
      </c>
      <c r="O254">
        <v>0</v>
      </c>
      <c r="P254">
        <v>5051</v>
      </c>
      <c r="Q254" t="s">
        <v>211</v>
      </c>
      <c r="R254" t="s">
        <v>168</v>
      </c>
      <c r="S254">
        <v>2025</v>
      </c>
      <c r="T254">
        <v>1124852279</v>
      </c>
      <c r="U254" t="s">
        <v>212</v>
      </c>
    </row>
    <row r="255" spans="1:21" x14ac:dyDescent="0.25">
      <c r="A255" t="s">
        <v>21</v>
      </c>
      <c r="B255">
        <v>1001434</v>
      </c>
      <c r="C255" s="1">
        <v>45842</v>
      </c>
      <c r="D255">
        <v>1</v>
      </c>
      <c r="E255">
        <v>1</v>
      </c>
      <c r="F255">
        <v>999</v>
      </c>
      <c r="G255" t="s">
        <v>22</v>
      </c>
      <c r="J255">
        <v>24480501</v>
      </c>
      <c r="K255" t="s">
        <v>35</v>
      </c>
      <c r="L255">
        <v>800102891</v>
      </c>
      <c r="M255" t="s">
        <v>36</v>
      </c>
      <c r="N255">
        <v>705000</v>
      </c>
      <c r="O255">
        <v>0</v>
      </c>
      <c r="P255">
        <v>7050</v>
      </c>
      <c r="Q255" t="s">
        <v>211</v>
      </c>
      <c r="R255" t="s">
        <v>168</v>
      </c>
      <c r="S255">
        <v>2025</v>
      </c>
      <c r="T255">
        <v>41101376</v>
      </c>
      <c r="U255" t="s">
        <v>585</v>
      </c>
    </row>
    <row r="256" spans="1:21" x14ac:dyDescent="0.25">
      <c r="A256" t="s">
        <v>21</v>
      </c>
      <c r="B256">
        <v>1001463</v>
      </c>
      <c r="C256" s="1">
        <v>45846</v>
      </c>
      <c r="D256">
        <v>1</v>
      </c>
      <c r="E256">
        <v>1</v>
      </c>
      <c r="F256">
        <v>999</v>
      </c>
      <c r="G256" t="s">
        <v>22</v>
      </c>
      <c r="J256">
        <v>24480501</v>
      </c>
      <c r="K256" t="s">
        <v>35</v>
      </c>
      <c r="L256">
        <v>800102891</v>
      </c>
      <c r="M256" t="s">
        <v>36</v>
      </c>
      <c r="N256">
        <v>480000</v>
      </c>
      <c r="O256">
        <v>0</v>
      </c>
      <c r="P256">
        <v>4800</v>
      </c>
      <c r="Q256" t="s">
        <v>37</v>
      </c>
      <c r="R256" t="s">
        <v>38</v>
      </c>
      <c r="S256">
        <v>2025</v>
      </c>
      <c r="T256">
        <v>900437268</v>
      </c>
      <c r="U256" t="s">
        <v>39</v>
      </c>
    </row>
    <row r="257" spans="1:21" x14ac:dyDescent="0.25">
      <c r="A257" t="s">
        <v>21</v>
      </c>
      <c r="B257">
        <v>1001464</v>
      </c>
      <c r="C257" s="1">
        <v>45846</v>
      </c>
      <c r="D257">
        <v>1</v>
      </c>
      <c r="E257">
        <v>2</v>
      </c>
      <c r="F257">
        <v>999</v>
      </c>
      <c r="G257" t="s">
        <v>22</v>
      </c>
      <c r="J257">
        <v>24480518</v>
      </c>
      <c r="K257" t="s">
        <v>75</v>
      </c>
      <c r="L257">
        <v>891201645</v>
      </c>
      <c r="M257" t="s">
        <v>47</v>
      </c>
      <c r="N257">
        <v>270000</v>
      </c>
      <c r="O257">
        <v>0</v>
      </c>
      <c r="P257">
        <v>2700</v>
      </c>
      <c r="Q257" t="s">
        <v>485</v>
      </c>
      <c r="R257" t="s">
        <v>38</v>
      </c>
      <c r="S257">
        <v>2025</v>
      </c>
      <c r="T257">
        <v>900437268</v>
      </c>
      <c r="U257" t="s">
        <v>39</v>
      </c>
    </row>
    <row r="258" spans="1:21" x14ac:dyDescent="0.25">
      <c r="A258" t="s">
        <v>21</v>
      </c>
      <c r="B258">
        <v>1001479</v>
      </c>
      <c r="C258" s="1">
        <v>45847</v>
      </c>
      <c r="D258">
        <v>1</v>
      </c>
      <c r="E258">
        <v>4</v>
      </c>
      <c r="F258">
        <v>999</v>
      </c>
      <c r="G258" t="s">
        <v>22</v>
      </c>
      <c r="J258">
        <v>24480510</v>
      </c>
      <c r="K258" t="s">
        <v>66</v>
      </c>
      <c r="L258">
        <v>800102912</v>
      </c>
      <c r="M258" t="s">
        <v>57</v>
      </c>
      <c r="N258">
        <v>0</v>
      </c>
      <c r="O258">
        <v>27904</v>
      </c>
      <c r="P258">
        <v>0</v>
      </c>
      <c r="Q258" t="s">
        <v>100</v>
      </c>
      <c r="R258" t="s">
        <v>38</v>
      </c>
      <c r="S258">
        <v>2025</v>
      </c>
      <c r="T258">
        <v>800102912</v>
      </c>
      <c r="U258" t="s">
        <v>57</v>
      </c>
    </row>
    <row r="259" spans="1:21" x14ac:dyDescent="0.25">
      <c r="A259" t="s">
        <v>21</v>
      </c>
      <c r="B259">
        <v>1001482</v>
      </c>
      <c r="C259" s="1">
        <v>45847</v>
      </c>
      <c r="D259">
        <v>1</v>
      </c>
      <c r="E259">
        <v>1</v>
      </c>
      <c r="F259">
        <v>999</v>
      </c>
      <c r="G259" t="s">
        <v>22</v>
      </c>
      <c r="J259">
        <v>24480502</v>
      </c>
      <c r="K259" t="s">
        <v>106</v>
      </c>
      <c r="L259">
        <v>800102891</v>
      </c>
      <c r="M259" t="s">
        <v>36</v>
      </c>
      <c r="N259">
        <v>0</v>
      </c>
      <c r="O259">
        <v>4892</v>
      </c>
      <c r="P259">
        <v>0</v>
      </c>
      <c r="Q259" t="s">
        <v>116</v>
      </c>
      <c r="R259" t="s">
        <v>38</v>
      </c>
      <c r="S259">
        <v>2025</v>
      </c>
      <c r="T259">
        <v>800102891</v>
      </c>
      <c r="U259" t="s">
        <v>36</v>
      </c>
    </row>
    <row r="260" spans="1:21" x14ac:dyDescent="0.25">
      <c r="A260" t="s">
        <v>21</v>
      </c>
      <c r="B260">
        <v>1001475</v>
      </c>
      <c r="C260" s="1">
        <v>45847</v>
      </c>
      <c r="D260">
        <v>1</v>
      </c>
      <c r="E260">
        <v>8</v>
      </c>
      <c r="F260">
        <v>999</v>
      </c>
      <c r="G260" t="s">
        <v>22</v>
      </c>
      <c r="J260">
        <v>24480519</v>
      </c>
      <c r="K260" t="s">
        <v>32</v>
      </c>
      <c r="L260">
        <v>800054249</v>
      </c>
      <c r="M260" t="s">
        <v>33</v>
      </c>
      <c r="N260">
        <v>0</v>
      </c>
      <c r="O260">
        <v>56506</v>
      </c>
      <c r="P260">
        <v>0</v>
      </c>
      <c r="Q260" t="s">
        <v>209</v>
      </c>
      <c r="R260" t="s">
        <v>38</v>
      </c>
      <c r="S260">
        <v>2025</v>
      </c>
      <c r="T260">
        <v>800054249</v>
      </c>
      <c r="U260" t="s">
        <v>33</v>
      </c>
    </row>
    <row r="261" spans="1:21" x14ac:dyDescent="0.25">
      <c r="A261" t="s">
        <v>21</v>
      </c>
      <c r="B261">
        <v>1001478</v>
      </c>
      <c r="C261" s="1">
        <v>45847</v>
      </c>
      <c r="D261">
        <v>1</v>
      </c>
      <c r="E261">
        <v>5</v>
      </c>
      <c r="F261">
        <v>999</v>
      </c>
      <c r="G261" t="s">
        <v>22</v>
      </c>
      <c r="J261">
        <v>24480508</v>
      </c>
      <c r="K261" t="s">
        <v>23</v>
      </c>
      <c r="L261">
        <v>800102896</v>
      </c>
      <c r="M261" t="s">
        <v>24</v>
      </c>
      <c r="N261">
        <v>0</v>
      </c>
      <c r="O261">
        <v>23233</v>
      </c>
      <c r="P261">
        <v>0</v>
      </c>
      <c r="Q261" t="s">
        <v>284</v>
      </c>
      <c r="R261" t="s">
        <v>38</v>
      </c>
      <c r="S261">
        <v>2025</v>
      </c>
      <c r="T261">
        <v>800102896</v>
      </c>
      <c r="U261" t="s">
        <v>24</v>
      </c>
    </row>
    <row r="262" spans="1:21" x14ac:dyDescent="0.25">
      <c r="A262" t="s">
        <v>21</v>
      </c>
      <c r="B262">
        <v>1001476</v>
      </c>
      <c r="C262" s="1">
        <v>45847</v>
      </c>
      <c r="D262">
        <v>1</v>
      </c>
      <c r="E262">
        <v>7</v>
      </c>
      <c r="F262">
        <v>999</v>
      </c>
      <c r="G262" t="s">
        <v>22</v>
      </c>
      <c r="J262">
        <v>24480515</v>
      </c>
      <c r="K262" t="s">
        <v>52</v>
      </c>
      <c r="L262">
        <v>800252922</v>
      </c>
      <c r="M262" t="s">
        <v>53</v>
      </c>
      <c r="N262">
        <v>0</v>
      </c>
      <c r="O262">
        <v>33328</v>
      </c>
      <c r="P262">
        <v>0</v>
      </c>
      <c r="Q262" t="s">
        <v>314</v>
      </c>
      <c r="R262" t="s">
        <v>38</v>
      </c>
      <c r="S262">
        <v>2025</v>
      </c>
      <c r="T262">
        <v>800252922</v>
      </c>
      <c r="U262" t="s">
        <v>53</v>
      </c>
    </row>
    <row r="263" spans="1:21" x14ac:dyDescent="0.25">
      <c r="A263" t="s">
        <v>21</v>
      </c>
      <c r="B263">
        <v>1001477</v>
      </c>
      <c r="C263" s="1">
        <v>45847</v>
      </c>
      <c r="D263">
        <v>1</v>
      </c>
      <c r="E263">
        <v>6</v>
      </c>
      <c r="F263">
        <v>999</v>
      </c>
      <c r="G263" t="s">
        <v>22</v>
      </c>
      <c r="J263">
        <v>24480512</v>
      </c>
      <c r="K263" t="s">
        <v>123</v>
      </c>
      <c r="L263">
        <v>891200513</v>
      </c>
      <c r="M263" t="s">
        <v>124</v>
      </c>
      <c r="N263">
        <v>0</v>
      </c>
      <c r="O263">
        <v>12983</v>
      </c>
      <c r="P263">
        <v>0</v>
      </c>
      <c r="Q263" t="s">
        <v>315</v>
      </c>
      <c r="R263" t="s">
        <v>38</v>
      </c>
      <c r="S263">
        <v>2025</v>
      </c>
      <c r="T263">
        <v>891200513</v>
      </c>
      <c r="U263" t="s">
        <v>124</v>
      </c>
    </row>
    <row r="264" spans="1:21" x14ac:dyDescent="0.25">
      <c r="A264" t="s">
        <v>21</v>
      </c>
      <c r="B264">
        <v>1001482</v>
      </c>
      <c r="C264" s="1">
        <v>45847</v>
      </c>
      <c r="D264">
        <v>1</v>
      </c>
      <c r="E264">
        <v>1</v>
      </c>
      <c r="F264">
        <v>999</v>
      </c>
      <c r="G264" t="s">
        <v>22</v>
      </c>
      <c r="J264">
        <v>24480501</v>
      </c>
      <c r="K264" t="s">
        <v>35</v>
      </c>
      <c r="L264">
        <v>800102891</v>
      </c>
      <c r="M264" t="s">
        <v>36</v>
      </c>
      <c r="N264">
        <v>0</v>
      </c>
      <c r="O264">
        <v>155691</v>
      </c>
      <c r="P264">
        <v>0</v>
      </c>
      <c r="Q264" t="s">
        <v>116</v>
      </c>
      <c r="R264" t="s">
        <v>38</v>
      </c>
      <c r="S264">
        <v>2025</v>
      </c>
      <c r="T264">
        <v>800102891</v>
      </c>
      <c r="U264" t="s">
        <v>36</v>
      </c>
    </row>
    <row r="265" spans="1:21" x14ac:dyDescent="0.25">
      <c r="A265" t="s">
        <v>21</v>
      </c>
      <c r="B265">
        <v>1001481</v>
      </c>
      <c r="C265" s="1">
        <v>45847</v>
      </c>
      <c r="D265">
        <v>1</v>
      </c>
      <c r="E265">
        <v>2</v>
      </c>
      <c r="F265">
        <v>999</v>
      </c>
      <c r="G265" t="s">
        <v>22</v>
      </c>
      <c r="J265">
        <v>24480518</v>
      </c>
      <c r="K265" t="s">
        <v>75</v>
      </c>
      <c r="L265">
        <v>891201645</v>
      </c>
      <c r="M265" t="s">
        <v>47</v>
      </c>
      <c r="N265">
        <v>0</v>
      </c>
      <c r="O265">
        <v>8933</v>
      </c>
      <c r="P265">
        <v>0</v>
      </c>
      <c r="Q265" t="s">
        <v>521</v>
      </c>
      <c r="R265" t="s">
        <v>38</v>
      </c>
      <c r="S265">
        <v>2025</v>
      </c>
      <c r="T265">
        <v>891201645</v>
      </c>
      <c r="U265" t="s">
        <v>47</v>
      </c>
    </row>
    <row r="266" spans="1:21" x14ac:dyDescent="0.25">
      <c r="A266" t="s">
        <v>21</v>
      </c>
      <c r="B266">
        <v>1001480</v>
      </c>
      <c r="C266" s="1">
        <v>45847</v>
      </c>
      <c r="D266">
        <v>1</v>
      </c>
      <c r="E266">
        <v>3</v>
      </c>
      <c r="F266">
        <v>999</v>
      </c>
      <c r="G266" t="s">
        <v>22</v>
      </c>
      <c r="J266">
        <v>24480506</v>
      </c>
      <c r="K266" t="s">
        <v>28</v>
      </c>
      <c r="L266">
        <v>891200461</v>
      </c>
      <c r="M266" t="s">
        <v>29</v>
      </c>
      <c r="N266">
        <v>0</v>
      </c>
      <c r="O266">
        <v>10529</v>
      </c>
      <c r="P266">
        <v>0</v>
      </c>
      <c r="Q266" t="s">
        <v>551</v>
      </c>
      <c r="R266" t="s">
        <v>38</v>
      </c>
      <c r="S266">
        <v>2025</v>
      </c>
      <c r="T266">
        <v>891200461</v>
      </c>
      <c r="U266" t="s">
        <v>29</v>
      </c>
    </row>
    <row r="267" spans="1:21" x14ac:dyDescent="0.25">
      <c r="A267" t="s">
        <v>21</v>
      </c>
      <c r="B267">
        <v>1001479</v>
      </c>
      <c r="C267" s="1">
        <v>45847</v>
      </c>
      <c r="D267">
        <v>1</v>
      </c>
      <c r="E267">
        <v>4</v>
      </c>
      <c r="F267">
        <v>999</v>
      </c>
      <c r="G267" t="s">
        <v>22</v>
      </c>
      <c r="J267">
        <v>24480509</v>
      </c>
      <c r="K267" t="s">
        <v>56</v>
      </c>
      <c r="L267">
        <v>800102912</v>
      </c>
      <c r="M267" t="s">
        <v>57</v>
      </c>
      <c r="N267">
        <v>0</v>
      </c>
      <c r="O267">
        <v>2057</v>
      </c>
      <c r="P267">
        <v>0</v>
      </c>
      <c r="Q267" t="s">
        <v>100</v>
      </c>
      <c r="R267" t="s">
        <v>38</v>
      </c>
      <c r="S267">
        <v>2025</v>
      </c>
      <c r="T267">
        <v>800102912</v>
      </c>
      <c r="U267" t="s">
        <v>57</v>
      </c>
    </row>
    <row r="268" spans="1:21" x14ac:dyDescent="0.25">
      <c r="A268" t="s">
        <v>21</v>
      </c>
      <c r="B268">
        <v>6000194</v>
      </c>
      <c r="C268" s="1">
        <v>45848</v>
      </c>
      <c r="D268">
        <v>6</v>
      </c>
      <c r="E268">
        <v>6</v>
      </c>
      <c r="F268">
        <v>999</v>
      </c>
      <c r="G268" t="s">
        <v>22</v>
      </c>
      <c r="J268">
        <v>24480512</v>
      </c>
      <c r="K268" t="s">
        <v>123</v>
      </c>
      <c r="L268">
        <v>891200513</v>
      </c>
      <c r="M268" t="s">
        <v>124</v>
      </c>
      <c r="N268">
        <v>1350000</v>
      </c>
      <c r="O268">
        <v>0</v>
      </c>
      <c r="P268">
        <v>6750</v>
      </c>
      <c r="Q268" t="s">
        <v>560</v>
      </c>
      <c r="R268" t="s">
        <v>126</v>
      </c>
      <c r="S268">
        <v>2025</v>
      </c>
      <c r="T268">
        <v>26636874</v>
      </c>
      <c r="U268" t="s">
        <v>127</v>
      </c>
    </row>
    <row r="269" spans="1:21" x14ac:dyDescent="0.25">
      <c r="A269" t="s">
        <v>21</v>
      </c>
      <c r="B269">
        <v>1001544</v>
      </c>
      <c r="C269" s="1">
        <v>45855</v>
      </c>
      <c r="D269">
        <v>1</v>
      </c>
      <c r="E269">
        <v>8</v>
      </c>
      <c r="F269">
        <v>999</v>
      </c>
      <c r="G269" t="s">
        <v>22</v>
      </c>
      <c r="J269">
        <v>24480519</v>
      </c>
      <c r="K269" t="s">
        <v>32</v>
      </c>
      <c r="L269">
        <v>800054249</v>
      </c>
      <c r="M269" t="s">
        <v>33</v>
      </c>
      <c r="N269">
        <v>10714480</v>
      </c>
      <c r="O269">
        <v>0</v>
      </c>
      <c r="P269">
        <v>53572</v>
      </c>
      <c r="Q269" t="s">
        <v>86</v>
      </c>
      <c r="R269" t="s">
        <v>31</v>
      </c>
      <c r="S269">
        <v>2025</v>
      </c>
      <c r="T269">
        <v>900579315</v>
      </c>
      <c r="U269" t="s">
        <v>44</v>
      </c>
    </row>
    <row r="270" spans="1:21" x14ac:dyDescent="0.25">
      <c r="A270" t="s">
        <v>21</v>
      </c>
      <c r="B270">
        <v>1001545</v>
      </c>
      <c r="C270" s="1">
        <v>45855</v>
      </c>
      <c r="D270">
        <v>1</v>
      </c>
      <c r="E270">
        <v>1</v>
      </c>
      <c r="F270">
        <v>999</v>
      </c>
      <c r="G270" t="s">
        <v>22</v>
      </c>
      <c r="J270">
        <v>24480501</v>
      </c>
      <c r="K270" t="s">
        <v>35</v>
      </c>
      <c r="L270">
        <v>800102891</v>
      </c>
      <c r="M270" t="s">
        <v>36</v>
      </c>
      <c r="N270">
        <v>770000</v>
      </c>
      <c r="O270">
        <v>0</v>
      </c>
      <c r="P270">
        <v>7700</v>
      </c>
      <c r="Q270" t="s">
        <v>553</v>
      </c>
      <c r="R270" t="s">
        <v>31</v>
      </c>
      <c r="S270">
        <v>2025</v>
      </c>
      <c r="T270">
        <v>846001061</v>
      </c>
      <c r="U270" t="s">
        <v>554</v>
      </c>
    </row>
    <row r="271" spans="1:21" x14ac:dyDescent="0.25">
      <c r="A271" t="s">
        <v>21</v>
      </c>
      <c r="B271">
        <v>7000126</v>
      </c>
      <c r="C271" s="1">
        <v>45861</v>
      </c>
      <c r="D271">
        <v>7</v>
      </c>
      <c r="E271">
        <v>7</v>
      </c>
      <c r="F271">
        <v>999</v>
      </c>
      <c r="G271" t="s">
        <v>22</v>
      </c>
      <c r="J271">
        <v>24480515</v>
      </c>
      <c r="K271" t="s">
        <v>52</v>
      </c>
      <c r="L271">
        <v>800252922</v>
      </c>
      <c r="M271" t="s">
        <v>53</v>
      </c>
      <c r="N271">
        <v>200000</v>
      </c>
      <c r="O271">
        <v>0</v>
      </c>
      <c r="P271">
        <v>1000</v>
      </c>
      <c r="Q271" t="s">
        <v>326</v>
      </c>
      <c r="R271" t="s">
        <v>64</v>
      </c>
      <c r="S271">
        <v>2025</v>
      </c>
      <c r="T271">
        <v>15572024</v>
      </c>
      <c r="U271" t="s">
        <v>187</v>
      </c>
    </row>
    <row r="272" spans="1:21" x14ac:dyDescent="0.25">
      <c r="A272" t="s">
        <v>21</v>
      </c>
      <c r="B272">
        <v>1001587</v>
      </c>
      <c r="C272" s="1">
        <v>45862</v>
      </c>
      <c r="D272">
        <v>1</v>
      </c>
      <c r="E272">
        <v>1</v>
      </c>
      <c r="F272">
        <v>999</v>
      </c>
      <c r="G272" t="s">
        <v>22</v>
      </c>
      <c r="J272">
        <v>24480502</v>
      </c>
      <c r="K272" t="s">
        <v>106</v>
      </c>
      <c r="L272">
        <v>800102891</v>
      </c>
      <c r="M272" t="s">
        <v>36</v>
      </c>
      <c r="N272">
        <v>6015966</v>
      </c>
      <c r="O272">
        <v>0</v>
      </c>
      <c r="P272">
        <v>36096</v>
      </c>
      <c r="Q272" t="s">
        <v>210</v>
      </c>
      <c r="R272" t="s">
        <v>31</v>
      </c>
      <c r="S272">
        <v>2025</v>
      </c>
      <c r="T272">
        <v>901452326</v>
      </c>
      <c r="U272" t="s">
        <v>102</v>
      </c>
    </row>
    <row r="273" spans="1:21" x14ac:dyDescent="0.25">
      <c r="A273" t="s">
        <v>21</v>
      </c>
      <c r="B273">
        <v>1001588</v>
      </c>
      <c r="C273" s="1">
        <v>45863</v>
      </c>
      <c r="D273">
        <v>1</v>
      </c>
      <c r="E273">
        <v>1</v>
      </c>
      <c r="F273">
        <v>999</v>
      </c>
      <c r="G273" t="s">
        <v>22</v>
      </c>
      <c r="J273">
        <v>24480501</v>
      </c>
      <c r="K273" t="s">
        <v>35</v>
      </c>
      <c r="L273">
        <v>800102891</v>
      </c>
      <c r="M273" t="s">
        <v>36</v>
      </c>
      <c r="N273">
        <v>1320000</v>
      </c>
      <c r="O273">
        <v>0</v>
      </c>
      <c r="P273">
        <v>13200</v>
      </c>
      <c r="Q273" t="s">
        <v>445</v>
      </c>
      <c r="R273" t="s">
        <v>31</v>
      </c>
      <c r="S273">
        <v>2025</v>
      </c>
      <c r="T273">
        <v>18126542</v>
      </c>
      <c r="U273" t="s">
        <v>446</v>
      </c>
    </row>
    <row r="274" spans="1:21" x14ac:dyDescent="0.25">
      <c r="A274" t="s">
        <v>21</v>
      </c>
      <c r="B274">
        <v>1001591</v>
      </c>
      <c r="C274" s="1">
        <v>45863</v>
      </c>
      <c r="D274">
        <v>1</v>
      </c>
      <c r="E274">
        <v>1</v>
      </c>
      <c r="F274">
        <v>999</v>
      </c>
      <c r="G274" t="s">
        <v>22</v>
      </c>
      <c r="J274">
        <v>24480501</v>
      </c>
      <c r="K274" t="s">
        <v>35</v>
      </c>
      <c r="L274">
        <v>800102891</v>
      </c>
      <c r="M274" t="s">
        <v>36</v>
      </c>
      <c r="N274">
        <v>6594803</v>
      </c>
      <c r="O274">
        <v>0</v>
      </c>
      <c r="P274">
        <v>65948</v>
      </c>
      <c r="Q274" t="s">
        <v>547</v>
      </c>
      <c r="R274" t="s">
        <v>31</v>
      </c>
      <c r="S274">
        <v>2025</v>
      </c>
      <c r="T274">
        <v>18145427</v>
      </c>
      <c r="U274" t="s">
        <v>70</v>
      </c>
    </row>
    <row r="275" spans="1:21" x14ac:dyDescent="0.25">
      <c r="A275" t="s">
        <v>21</v>
      </c>
      <c r="B275">
        <v>1001589</v>
      </c>
      <c r="C275" s="1">
        <v>45863</v>
      </c>
      <c r="D275">
        <v>1</v>
      </c>
      <c r="E275">
        <v>1</v>
      </c>
      <c r="F275">
        <v>999</v>
      </c>
      <c r="G275" t="s">
        <v>22</v>
      </c>
      <c r="J275">
        <v>24480501</v>
      </c>
      <c r="K275" t="s">
        <v>35</v>
      </c>
      <c r="L275">
        <v>800102891</v>
      </c>
      <c r="M275" t="s">
        <v>36</v>
      </c>
      <c r="N275">
        <v>225000</v>
      </c>
      <c r="O275">
        <v>0</v>
      </c>
      <c r="P275">
        <v>2250</v>
      </c>
      <c r="Q275" t="s">
        <v>666</v>
      </c>
      <c r="R275" t="s">
        <v>200</v>
      </c>
      <c r="S275">
        <v>2025</v>
      </c>
      <c r="T275">
        <v>87101363</v>
      </c>
      <c r="U275" t="s">
        <v>667</v>
      </c>
    </row>
    <row r="276" spans="1:21" x14ac:dyDescent="0.25">
      <c r="A276" t="s">
        <v>21</v>
      </c>
      <c r="B276">
        <v>1001595</v>
      </c>
      <c r="C276" s="1">
        <v>45866</v>
      </c>
      <c r="D276">
        <v>1</v>
      </c>
      <c r="E276">
        <v>1</v>
      </c>
      <c r="F276">
        <v>999</v>
      </c>
      <c r="G276" t="s">
        <v>22</v>
      </c>
      <c r="J276">
        <v>24480502</v>
      </c>
      <c r="K276" t="s">
        <v>106</v>
      </c>
      <c r="L276">
        <v>800102891</v>
      </c>
      <c r="M276" t="s">
        <v>36</v>
      </c>
      <c r="N276">
        <v>1294819</v>
      </c>
      <c r="O276">
        <v>0</v>
      </c>
      <c r="P276">
        <v>7768</v>
      </c>
      <c r="Q276" t="s">
        <v>545</v>
      </c>
      <c r="R276" t="s">
        <v>168</v>
      </c>
      <c r="S276">
        <v>2025</v>
      </c>
      <c r="T276">
        <v>814000143</v>
      </c>
      <c r="U276" t="s">
        <v>546</v>
      </c>
    </row>
    <row r="277" spans="1:21" x14ac:dyDescent="0.25">
      <c r="A277" t="s">
        <v>21</v>
      </c>
      <c r="B277">
        <v>7000129</v>
      </c>
      <c r="C277" s="1">
        <v>45867</v>
      </c>
      <c r="D277">
        <v>7</v>
      </c>
      <c r="E277">
        <v>7</v>
      </c>
      <c r="F277">
        <v>999</v>
      </c>
      <c r="G277" t="s">
        <v>22</v>
      </c>
      <c r="J277">
        <v>24480515</v>
      </c>
      <c r="K277" t="s">
        <v>52</v>
      </c>
      <c r="L277">
        <v>800252922</v>
      </c>
      <c r="M277" t="s">
        <v>53</v>
      </c>
      <c r="N277">
        <v>305000</v>
      </c>
      <c r="O277">
        <v>0</v>
      </c>
      <c r="P277">
        <v>1525</v>
      </c>
      <c r="Q277" t="s">
        <v>330</v>
      </c>
      <c r="R277" t="s">
        <v>64</v>
      </c>
      <c r="S277">
        <v>2025</v>
      </c>
      <c r="T277">
        <v>18162933</v>
      </c>
      <c r="U277" t="s">
        <v>242</v>
      </c>
    </row>
    <row r="278" spans="1:21" x14ac:dyDescent="0.25">
      <c r="A278" t="s">
        <v>21</v>
      </c>
      <c r="B278">
        <v>1001613</v>
      </c>
      <c r="C278" s="1">
        <v>45868</v>
      </c>
      <c r="D278">
        <v>1</v>
      </c>
      <c r="E278">
        <v>1</v>
      </c>
      <c r="F278">
        <v>999</v>
      </c>
      <c r="G278" t="s">
        <v>22</v>
      </c>
      <c r="J278">
        <v>24480501</v>
      </c>
      <c r="K278" t="s">
        <v>35</v>
      </c>
      <c r="L278">
        <v>800102891</v>
      </c>
      <c r="M278" t="s">
        <v>36</v>
      </c>
      <c r="N278">
        <v>1010000</v>
      </c>
      <c r="O278">
        <v>0</v>
      </c>
      <c r="P278">
        <v>10100</v>
      </c>
      <c r="Q278" t="s">
        <v>368</v>
      </c>
      <c r="R278" t="s">
        <v>38</v>
      </c>
      <c r="S278">
        <v>2025</v>
      </c>
      <c r="T278">
        <v>1010081868</v>
      </c>
      <c r="U278" t="s">
        <v>110</v>
      </c>
    </row>
    <row r="279" spans="1:21" x14ac:dyDescent="0.25">
      <c r="A279" t="s">
        <v>93</v>
      </c>
      <c r="B279">
        <v>1003216</v>
      </c>
      <c r="C279" s="1">
        <v>45868</v>
      </c>
      <c r="D279">
        <v>1</v>
      </c>
      <c r="E279">
        <v>1</v>
      </c>
      <c r="F279">
        <v>999</v>
      </c>
      <c r="G279" t="s">
        <v>22</v>
      </c>
      <c r="J279">
        <v>24480501</v>
      </c>
      <c r="K279" t="s">
        <v>35</v>
      </c>
      <c r="L279">
        <v>800102891</v>
      </c>
      <c r="M279" t="s">
        <v>36</v>
      </c>
      <c r="N279">
        <v>2142984</v>
      </c>
      <c r="O279">
        <v>0</v>
      </c>
      <c r="P279">
        <v>21430</v>
      </c>
      <c r="Q279" t="s">
        <v>608</v>
      </c>
      <c r="R279" t="s">
        <v>200</v>
      </c>
      <c r="S279">
        <v>2025</v>
      </c>
      <c r="T279">
        <v>18127828</v>
      </c>
      <c r="U279" t="s">
        <v>205</v>
      </c>
    </row>
    <row r="280" spans="1:21" x14ac:dyDescent="0.25">
      <c r="A280" t="s">
        <v>21</v>
      </c>
      <c r="B280">
        <v>7000131</v>
      </c>
      <c r="C280" s="1">
        <v>45869</v>
      </c>
      <c r="D280">
        <v>7</v>
      </c>
      <c r="E280">
        <v>7</v>
      </c>
      <c r="F280">
        <v>999</v>
      </c>
      <c r="G280" t="s">
        <v>22</v>
      </c>
      <c r="J280">
        <v>24480515</v>
      </c>
      <c r="K280" t="s">
        <v>52</v>
      </c>
      <c r="L280">
        <v>800252922</v>
      </c>
      <c r="M280" t="s">
        <v>53</v>
      </c>
      <c r="N280">
        <v>141000</v>
      </c>
      <c r="O280">
        <v>0</v>
      </c>
      <c r="P280">
        <v>705</v>
      </c>
      <c r="Q280" t="s">
        <v>424</v>
      </c>
      <c r="R280" t="s">
        <v>64</v>
      </c>
      <c r="S280">
        <v>2025</v>
      </c>
      <c r="T280">
        <v>1123327258</v>
      </c>
      <c r="U280" t="s">
        <v>425</v>
      </c>
    </row>
    <row r="281" spans="1:21" x14ac:dyDescent="0.25">
      <c r="A281" t="s">
        <v>21</v>
      </c>
      <c r="B281">
        <v>1001645</v>
      </c>
      <c r="C281" s="1">
        <v>45869</v>
      </c>
      <c r="D281">
        <v>1</v>
      </c>
      <c r="E281">
        <v>4</v>
      </c>
      <c r="F281">
        <v>999</v>
      </c>
      <c r="G281" t="s">
        <v>22</v>
      </c>
      <c r="J281">
        <v>24480510</v>
      </c>
      <c r="K281" t="s">
        <v>66</v>
      </c>
      <c r="L281">
        <v>800102912</v>
      </c>
      <c r="M281" t="s">
        <v>57</v>
      </c>
      <c r="N281">
        <v>770000</v>
      </c>
      <c r="O281">
        <v>0</v>
      </c>
      <c r="P281">
        <v>5390</v>
      </c>
      <c r="Q281" t="s">
        <v>552</v>
      </c>
      <c r="R281" t="s">
        <v>31</v>
      </c>
      <c r="S281">
        <v>2025</v>
      </c>
      <c r="T281">
        <v>18126313</v>
      </c>
      <c r="U281" t="s">
        <v>154</v>
      </c>
    </row>
    <row r="282" spans="1:21" x14ac:dyDescent="0.25">
      <c r="A282" t="s">
        <v>21</v>
      </c>
      <c r="B282">
        <v>3000488</v>
      </c>
      <c r="C282" s="1">
        <v>45869</v>
      </c>
      <c r="D282">
        <v>3</v>
      </c>
      <c r="E282">
        <v>3</v>
      </c>
      <c r="F282">
        <v>999</v>
      </c>
      <c r="G282" t="s">
        <v>22</v>
      </c>
      <c r="J282">
        <v>24480506</v>
      </c>
      <c r="K282" t="s">
        <v>28</v>
      </c>
      <c r="L282">
        <v>891200461</v>
      </c>
      <c r="M282" t="s">
        <v>29</v>
      </c>
      <c r="N282">
        <v>1050000</v>
      </c>
      <c r="O282">
        <v>0</v>
      </c>
      <c r="P282">
        <v>8400</v>
      </c>
      <c r="Q282" t="s">
        <v>633</v>
      </c>
      <c r="R282" t="s">
        <v>84</v>
      </c>
      <c r="S282">
        <v>2025</v>
      </c>
      <c r="T282">
        <v>18189441</v>
      </c>
      <c r="U282" t="s">
        <v>293</v>
      </c>
    </row>
    <row r="283" spans="1:21" x14ac:dyDescent="0.25">
      <c r="A283" t="s">
        <v>21</v>
      </c>
      <c r="B283">
        <v>2000293</v>
      </c>
      <c r="C283" s="1">
        <v>45875</v>
      </c>
      <c r="D283">
        <v>2</v>
      </c>
      <c r="E283">
        <v>2</v>
      </c>
      <c r="F283">
        <v>999</v>
      </c>
      <c r="G283" t="s">
        <v>22</v>
      </c>
      <c r="J283">
        <v>24480518</v>
      </c>
      <c r="K283" t="s">
        <v>75</v>
      </c>
      <c r="L283">
        <v>891201645</v>
      </c>
      <c r="M283" t="s">
        <v>47</v>
      </c>
      <c r="N283">
        <v>300000</v>
      </c>
      <c r="O283">
        <v>0</v>
      </c>
      <c r="P283">
        <v>3000</v>
      </c>
      <c r="Q283" t="s">
        <v>599</v>
      </c>
      <c r="R283" t="s">
        <v>49</v>
      </c>
      <c r="S283">
        <v>2025</v>
      </c>
      <c r="T283">
        <v>12748219</v>
      </c>
      <c r="U283" t="s">
        <v>443</v>
      </c>
    </row>
    <row r="284" spans="1:21" x14ac:dyDescent="0.25">
      <c r="A284" t="s">
        <v>21</v>
      </c>
      <c r="B284">
        <v>5000064</v>
      </c>
      <c r="C284" s="1">
        <v>45880</v>
      </c>
      <c r="D284">
        <v>5</v>
      </c>
      <c r="E284">
        <v>5</v>
      </c>
      <c r="F284">
        <v>999</v>
      </c>
      <c r="G284" t="s">
        <v>22</v>
      </c>
      <c r="J284">
        <v>24480507</v>
      </c>
      <c r="K284" t="s">
        <v>219</v>
      </c>
      <c r="L284">
        <v>800102896</v>
      </c>
      <c r="M284" t="s">
        <v>24</v>
      </c>
      <c r="N284">
        <v>3380000</v>
      </c>
      <c r="O284">
        <v>0</v>
      </c>
      <c r="P284">
        <v>33800</v>
      </c>
      <c r="Q284" t="s">
        <v>387</v>
      </c>
      <c r="R284" t="s">
        <v>320</v>
      </c>
      <c r="S284">
        <v>2025</v>
      </c>
      <c r="T284">
        <v>69028034</v>
      </c>
      <c r="U284" t="s">
        <v>388</v>
      </c>
    </row>
    <row r="285" spans="1:21" x14ac:dyDescent="0.25">
      <c r="A285" t="s">
        <v>21</v>
      </c>
      <c r="B285">
        <v>1001788</v>
      </c>
      <c r="C285" s="1">
        <v>45881</v>
      </c>
      <c r="D285">
        <v>1</v>
      </c>
      <c r="E285">
        <v>7</v>
      </c>
      <c r="F285">
        <v>999</v>
      </c>
      <c r="G285" t="s">
        <v>22</v>
      </c>
      <c r="J285">
        <v>24480515</v>
      </c>
      <c r="K285" t="s">
        <v>52</v>
      </c>
      <c r="L285">
        <v>800252922</v>
      </c>
      <c r="M285" t="s">
        <v>53</v>
      </c>
      <c r="N285">
        <v>380000</v>
      </c>
      <c r="O285">
        <v>0</v>
      </c>
      <c r="P285">
        <v>3040</v>
      </c>
      <c r="Q285" t="s">
        <v>263</v>
      </c>
      <c r="R285" t="s">
        <v>31</v>
      </c>
      <c r="S285">
        <v>2025</v>
      </c>
      <c r="T285">
        <v>900502634</v>
      </c>
      <c r="U285" t="s">
        <v>55</v>
      </c>
    </row>
    <row r="286" spans="1:21" x14ac:dyDescent="0.25">
      <c r="A286" t="s">
        <v>21</v>
      </c>
      <c r="B286">
        <v>1001787</v>
      </c>
      <c r="C286" s="1">
        <v>45881</v>
      </c>
      <c r="D286">
        <v>1</v>
      </c>
      <c r="E286">
        <v>4</v>
      </c>
      <c r="F286">
        <v>999</v>
      </c>
      <c r="G286" t="s">
        <v>22</v>
      </c>
      <c r="J286">
        <v>24480510</v>
      </c>
      <c r="K286" t="s">
        <v>66</v>
      </c>
      <c r="L286">
        <v>800102912</v>
      </c>
      <c r="M286" t="s">
        <v>57</v>
      </c>
      <c r="N286">
        <v>380000</v>
      </c>
      <c r="O286">
        <v>0</v>
      </c>
      <c r="P286">
        <v>2660</v>
      </c>
      <c r="Q286" t="s">
        <v>287</v>
      </c>
      <c r="R286" t="s">
        <v>31</v>
      </c>
      <c r="S286">
        <v>2025</v>
      </c>
      <c r="T286">
        <v>900502634</v>
      </c>
      <c r="U286" t="s">
        <v>55</v>
      </c>
    </row>
    <row r="287" spans="1:21" x14ac:dyDescent="0.25">
      <c r="A287" t="s">
        <v>21</v>
      </c>
      <c r="B287">
        <v>1001785</v>
      </c>
      <c r="C287" s="1">
        <v>45881</v>
      </c>
      <c r="D287">
        <v>1</v>
      </c>
      <c r="E287">
        <v>1</v>
      </c>
      <c r="F287">
        <v>999</v>
      </c>
      <c r="G287" t="s">
        <v>22</v>
      </c>
      <c r="J287">
        <v>24480501</v>
      </c>
      <c r="K287" t="s">
        <v>35</v>
      </c>
      <c r="L287">
        <v>800102891</v>
      </c>
      <c r="M287" t="s">
        <v>36</v>
      </c>
      <c r="N287">
        <v>480000</v>
      </c>
      <c r="O287">
        <v>0</v>
      </c>
      <c r="P287">
        <v>4800</v>
      </c>
      <c r="Q287" t="s">
        <v>327</v>
      </c>
      <c r="R287" t="s">
        <v>31</v>
      </c>
      <c r="S287">
        <v>2025</v>
      </c>
      <c r="T287">
        <v>900437268</v>
      </c>
      <c r="U287" t="s">
        <v>39</v>
      </c>
    </row>
    <row r="288" spans="1:21" x14ac:dyDescent="0.25">
      <c r="A288" t="s">
        <v>21</v>
      </c>
      <c r="B288">
        <v>1001789</v>
      </c>
      <c r="C288" s="1">
        <v>45881</v>
      </c>
      <c r="D288">
        <v>1</v>
      </c>
      <c r="E288">
        <v>7</v>
      </c>
      <c r="F288">
        <v>999</v>
      </c>
      <c r="G288" t="s">
        <v>22</v>
      </c>
      <c r="J288">
        <v>24480515</v>
      </c>
      <c r="K288" t="s">
        <v>52</v>
      </c>
      <c r="L288">
        <v>800252922</v>
      </c>
      <c r="M288" t="s">
        <v>53</v>
      </c>
      <c r="N288">
        <v>100000</v>
      </c>
      <c r="O288">
        <v>0</v>
      </c>
      <c r="P288">
        <v>800</v>
      </c>
      <c r="Q288" t="s">
        <v>474</v>
      </c>
      <c r="R288" t="s">
        <v>31</v>
      </c>
      <c r="S288">
        <v>2025</v>
      </c>
      <c r="T288">
        <v>900502634</v>
      </c>
      <c r="U288" t="s">
        <v>55</v>
      </c>
    </row>
    <row r="289" spans="1:21" x14ac:dyDescent="0.25">
      <c r="A289" t="s">
        <v>21</v>
      </c>
      <c r="B289">
        <v>6000232</v>
      </c>
      <c r="C289" s="1">
        <v>45881</v>
      </c>
      <c r="D289">
        <v>6</v>
      </c>
      <c r="E289">
        <v>6</v>
      </c>
      <c r="F289">
        <v>999</v>
      </c>
      <c r="G289" t="s">
        <v>22</v>
      </c>
      <c r="J289">
        <v>24480512</v>
      </c>
      <c r="K289" t="s">
        <v>123</v>
      </c>
      <c r="L289">
        <v>891200513</v>
      </c>
      <c r="M289" t="s">
        <v>124</v>
      </c>
      <c r="N289">
        <v>1350000</v>
      </c>
      <c r="O289">
        <v>0</v>
      </c>
      <c r="P289">
        <v>6750</v>
      </c>
      <c r="Q289" t="s">
        <v>512</v>
      </c>
      <c r="R289" t="s">
        <v>126</v>
      </c>
      <c r="S289">
        <v>2025</v>
      </c>
      <c r="T289">
        <v>26636874</v>
      </c>
      <c r="U289" t="s">
        <v>127</v>
      </c>
    </row>
    <row r="290" spans="1:21" x14ac:dyDescent="0.25">
      <c r="A290" t="s">
        <v>21</v>
      </c>
      <c r="B290">
        <v>1001786</v>
      </c>
      <c r="C290" s="1">
        <v>45881</v>
      </c>
      <c r="D290">
        <v>1</v>
      </c>
      <c r="E290">
        <v>2</v>
      </c>
      <c r="F290">
        <v>999</v>
      </c>
      <c r="G290" t="s">
        <v>22</v>
      </c>
      <c r="J290">
        <v>24480518</v>
      </c>
      <c r="K290" t="s">
        <v>75</v>
      </c>
      <c r="L290">
        <v>891201645</v>
      </c>
      <c r="M290" t="s">
        <v>47</v>
      </c>
      <c r="N290">
        <v>270000</v>
      </c>
      <c r="O290">
        <v>0</v>
      </c>
      <c r="P290">
        <v>2700</v>
      </c>
      <c r="Q290" t="s">
        <v>528</v>
      </c>
      <c r="R290" t="s">
        <v>31</v>
      </c>
      <c r="S290">
        <v>2025</v>
      </c>
      <c r="T290">
        <v>900437268</v>
      </c>
      <c r="U290" t="s">
        <v>39</v>
      </c>
    </row>
    <row r="291" spans="1:21" x14ac:dyDescent="0.25">
      <c r="A291" t="s">
        <v>21</v>
      </c>
      <c r="B291">
        <v>1001776</v>
      </c>
      <c r="C291" s="1">
        <v>45881</v>
      </c>
      <c r="D291">
        <v>1</v>
      </c>
      <c r="E291">
        <v>1</v>
      </c>
      <c r="F291">
        <v>999</v>
      </c>
      <c r="G291" t="s">
        <v>22</v>
      </c>
      <c r="J291">
        <v>24480501</v>
      </c>
      <c r="K291" t="s">
        <v>35</v>
      </c>
      <c r="L291">
        <v>800102891</v>
      </c>
      <c r="M291" t="s">
        <v>36</v>
      </c>
      <c r="N291">
        <v>1295000</v>
      </c>
      <c r="O291">
        <v>0</v>
      </c>
      <c r="P291">
        <v>12950</v>
      </c>
      <c r="Q291" t="s">
        <v>575</v>
      </c>
      <c r="R291" t="s">
        <v>31</v>
      </c>
      <c r="S291">
        <v>2025</v>
      </c>
      <c r="T291">
        <v>1010081868</v>
      </c>
      <c r="U291" t="s">
        <v>110</v>
      </c>
    </row>
    <row r="292" spans="1:21" x14ac:dyDescent="0.25">
      <c r="A292" t="s">
        <v>21</v>
      </c>
      <c r="B292">
        <v>2000304</v>
      </c>
      <c r="C292" s="1">
        <v>45881</v>
      </c>
      <c r="D292">
        <v>2</v>
      </c>
      <c r="E292">
        <v>2</v>
      </c>
      <c r="F292">
        <v>999</v>
      </c>
      <c r="G292" t="s">
        <v>22</v>
      </c>
      <c r="J292">
        <v>24480518</v>
      </c>
      <c r="K292" t="s">
        <v>75</v>
      </c>
      <c r="L292">
        <v>891201645</v>
      </c>
      <c r="M292" t="s">
        <v>47</v>
      </c>
      <c r="N292">
        <v>480000</v>
      </c>
      <c r="O292">
        <v>0</v>
      </c>
      <c r="P292">
        <v>4800</v>
      </c>
      <c r="Q292" t="s">
        <v>606</v>
      </c>
      <c r="R292" t="s">
        <v>49</v>
      </c>
      <c r="S292">
        <v>2025</v>
      </c>
      <c r="T292">
        <v>12748219</v>
      </c>
      <c r="U292" t="s">
        <v>443</v>
      </c>
    </row>
    <row r="293" spans="1:21" x14ac:dyDescent="0.25">
      <c r="A293" t="s">
        <v>21</v>
      </c>
      <c r="B293">
        <v>1001797</v>
      </c>
      <c r="C293" s="1">
        <v>45882</v>
      </c>
      <c r="D293">
        <v>1</v>
      </c>
      <c r="E293">
        <v>4</v>
      </c>
      <c r="F293">
        <v>999</v>
      </c>
      <c r="G293" t="s">
        <v>22</v>
      </c>
      <c r="J293">
        <v>24480510</v>
      </c>
      <c r="K293" t="s">
        <v>66</v>
      </c>
      <c r="L293">
        <v>800102912</v>
      </c>
      <c r="M293" t="s">
        <v>57</v>
      </c>
      <c r="N293">
        <v>501050</v>
      </c>
      <c r="O293">
        <v>0</v>
      </c>
      <c r="P293">
        <v>3507</v>
      </c>
      <c r="Q293" t="s">
        <v>386</v>
      </c>
      <c r="R293" t="s">
        <v>31</v>
      </c>
      <c r="S293">
        <v>2025</v>
      </c>
      <c r="T293">
        <v>900620983</v>
      </c>
      <c r="U293" t="s">
        <v>68</v>
      </c>
    </row>
    <row r="294" spans="1:21" x14ac:dyDescent="0.25">
      <c r="A294" t="s">
        <v>21</v>
      </c>
      <c r="B294">
        <v>1001796</v>
      </c>
      <c r="C294" s="1">
        <v>45882</v>
      </c>
      <c r="D294">
        <v>1</v>
      </c>
      <c r="E294">
        <v>4</v>
      </c>
      <c r="F294">
        <v>999</v>
      </c>
      <c r="G294" t="s">
        <v>22</v>
      </c>
      <c r="J294">
        <v>24480510</v>
      </c>
      <c r="K294" t="s">
        <v>66</v>
      </c>
      <c r="L294">
        <v>800102912</v>
      </c>
      <c r="M294" t="s">
        <v>57</v>
      </c>
      <c r="N294">
        <v>400000</v>
      </c>
      <c r="O294">
        <v>0</v>
      </c>
      <c r="P294">
        <v>2800</v>
      </c>
      <c r="Q294" t="s">
        <v>452</v>
      </c>
      <c r="R294" t="s">
        <v>31</v>
      </c>
      <c r="S294">
        <v>2025</v>
      </c>
      <c r="T294">
        <v>900620983</v>
      </c>
      <c r="U294" t="s">
        <v>68</v>
      </c>
    </row>
    <row r="295" spans="1:21" x14ac:dyDescent="0.25">
      <c r="A295" t="s">
        <v>21</v>
      </c>
      <c r="B295">
        <v>1001819</v>
      </c>
      <c r="C295" s="1">
        <v>45883</v>
      </c>
      <c r="D295">
        <v>1</v>
      </c>
      <c r="E295">
        <v>1</v>
      </c>
      <c r="F295">
        <v>999</v>
      </c>
      <c r="G295" t="s">
        <v>22</v>
      </c>
      <c r="J295">
        <v>24480501</v>
      </c>
      <c r="K295" t="s">
        <v>35</v>
      </c>
      <c r="L295">
        <v>800102891</v>
      </c>
      <c r="M295" t="s">
        <v>36</v>
      </c>
      <c r="N295">
        <v>0</v>
      </c>
      <c r="O295">
        <v>137529</v>
      </c>
      <c r="P295">
        <v>0</v>
      </c>
      <c r="Q295" t="s">
        <v>42</v>
      </c>
      <c r="R295" t="s">
        <v>31</v>
      </c>
      <c r="S295">
        <v>2025</v>
      </c>
      <c r="T295">
        <v>800102891</v>
      </c>
      <c r="U295" t="s">
        <v>36</v>
      </c>
    </row>
    <row r="296" spans="1:21" x14ac:dyDescent="0.25">
      <c r="A296" t="s">
        <v>21</v>
      </c>
      <c r="B296">
        <v>1001819</v>
      </c>
      <c r="C296" s="1">
        <v>45883</v>
      </c>
      <c r="D296">
        <v>1</v>
      </c>
      <c r="E296">
        <v>1</v>
      </c>
      <c r="F296">
        <v>999</v>
      </c>
      <c r="G296" t="s">
        <v>22</v>
      </c>
      <c r="J296">
        <v>24480502</v>
      </c>
      <c r="K296" t="s">
        <v>106</v>
      </c>
      <c r="L296">
        <v>800102891</v>
      </c>
      <c r="M296" t="s">
        <v>36</v>
      </c>
      <c r="N296">
        <v>0</v>
      </c>
      <c r="O296">
        <v>47117</v>
      </c>
      <c r="P296">
        <v>0</v>
      </c>
      <c r="Q296" t="s">
        <v>42</v>
      </c>
      <c r="R296" t="s">
        <v>31</v>
      </c>
      <c r="S296">
        <v>2025</v>
      </c>
      <c r="T296">
        <v>800102891</v>
      </c>
      <c r="U296" t="s">
        <v>36</v>
      </c>
    </row>
    <row r="297" spans="1:21" x14ac:dyDescent="0.25">
      <c r="A297" t="s">
        <v>21</v>
      </c>
      <c r="B297">
        <v>1001813</v>
      </c>
      <c r="C297" s="1">
        <v>45883</v>
      </c>
      <c r="D297">
        <v>1</v>
      </c>
      <c r="E297">
        <v>8</v>
      </c>
      <c r="F297">
        <v>999</v>
      </c>
      <c r="G297" t="s">
        <v>22</v>
      </c>
      <c r="J297">
        <v>24480519</v>
      </c>
      <c r="K297" t="s">
        <v>32</v>
      </c>
      <c r="L297">
        <v>800054249</v>
      </c>
      <c r="M297" t="s">
        <v>33</v>
      </c>
      <c r="N297">
        <v>0</v>
      </c>
      <c r="O297">
        <v>53572</v>
      </c>
      <c r="P297">
        <v>0</v>
      </c>
      <c r="Q297" t="s">
        <v>307</v>
      </c>
      <c r="R297" t="s">
        <v>31</v>
      </c>
      <c r="S297">
        <v>2025</v>
      </c>
      <c r="T297">
        <v>800054249</v>
      </c>
      <c r="U297" t="s">
        <v>33</v>
      </c>
    </row>
    <row r="298" spans="1:21" x14ac:dyDescent="0.25">
      <c r="A298" t="s">
        <v>21</v>
      </c>
      <c r="B298">
        <v>1001817</v>
      </c>
      <c r="C298" s="1">
        <v>45883</v>
      </c>
      <c r="D298">
        <v>1</v>
      </c>
      <c r="E298">
        <v>3</v>
      </c>
      <c r="F298">
        <v>999</v>
      </c>
      <c r="G298" t="s">
        <v>22</v>
      </c>
      <c r="J298">
        <v>24480506</v>
      </c>
      <c r="K298" t="s">
        <v>28</v>
      </c>
      <c r="L298">
        <v>891200461</v>
      </c>
      <c r="M298" t="s">
        <v>29</v>
      </c>
      <c r="N298">
        <v>0</v>
      </c>
      <c r="O298">
        <v>8400</v>
      </c>
      <c r="P298">
        <v>0</v>
      </c>
      <c r="Q298" t="s">
        <v>361</v>
      </c>
      <c r="R298" t="s">
        <v>31</v>
      </c>
      <c r="S298">
        <v>2025</v>
      </c>
      <c r="T298">
        <v>891200461</v>
      </c>
      <c r="U298" t="s">
        <v>29</v>
      </c>
    </row>
    <row r="299" spans="1:21" x14ac:dyDescent="0.25">
      <c r="A299" t="s">
        <v>21</v>
      </c>
      <c r="B299">
        <v>1001818</v>
      </c>
      <c r="C299" s="1">
        <v>45883</v>
      </c>
      <c r="D299">
        <v>1</v>
      </c>
      <c r="E299">
        <v>2</v>
      </c>
      <c r="F299">
        <v>999</v>
      </c>
      <c r="G299" t="s">
        <v>22</v>
      </c>
      <c r="J299">
        <v>24480518</v>
      </c>
      <c r="K299" t="s">
        <v>75</v>
      </c>
      <c r="L299">
        <v>891201645</v>
      </c>
      <c r="M299" t="s">
        <v>47</v>
      </c>
      <c r="N299">
        <v>0</v>
      </c>
      <c r="O299">
        <v>2700</v>
      </c>
      <c r="P299">
        <v>0</v>
      </c>
      <c r="Q299" t="s">
        <v>419</v>
      </c>
      <c r="R299" t="s">
        <v>31</v>
      </c>
      <c r="S299">
        <v>2025</v>
      </c>
      <c r="T299">
        <v>891201645</v>
      </c>
      <c r="U299" t="s">
        <v>47</v>
      </c>
    </row>
    <row r="300" spans="1:21" x14ac:dyDescent="0.25">
      <c r="A300" t="s">
        <v>21</v>
      </c>
      <c r="B300">
        <v>1001816</v>
      </c>
      <c r="C300" s="1">
        <v>45883</v>
      </c>
      <c r="D300">
        <v>1</v>
      </c>
      <c r="E300">
        <v>4</v>
      </c>
      <c r="F300">
        <v>999</v>
      </c>
      <c r="G300" t="s">
        <v>22</v>
      </c>
      <c r="J300">
        <v>24480510</v>
      </c>
      <c r="K300" t="s">
        <v>66</v>
      </c>
      <c r="L300">
        <v>800102912</v>
      </c>
      <c r="M300" t="s">
        <v>57</v>
      </c>
      <c r="N300">
        <v>0</v>
      </c>
      <c r="O300">
        <v>14357</v>
      </c>
      <c r="P300">
        <v>0</v>
      </c>
      <c r="Q300" t="s">
        <v>557</v>
      </c>
      <c r="R300" t="s">
        <v>31</v>
      </c>
      <c r="S300">
        <v>2025</v>
      </c>
      <c r="T300">
        <v>800102912</v>
      </c>
      <c r="U300" t="s">
        <v>57</v>
      </c>
    </row>
    <row r="301" spans="1:21" x14ac:dyDescent="0.25">
      <c r="A301" t="s">
        <v>21</v>
      </c>
      <c r="B301">
        <v>1001815</v>
      </c>
      <c r="C301" s="1">
        <v>45883</v>
      </c>
      <c r="D301">
        <v>1</v>
      </c>
      <c r="E301">
        <v>6</v>
      </c>
      <c r="F301">
        <v>999</v>
      </c>
      <c r="G301" t="s">
        <v>22</v>
      </c>
      <c r="J301">
        <v>24480512</v>
      </c>
      <c r="K301" t="s">
        <v>123</v>
      </c>
      <c r="L301">
        <v>891200513</v>
      </c>
      <c r="M301" t="s">
        <v>124</v>
      </c>
      <c r="N301">
        <v>0</v>
      </c>
      <c r="O301">
        <v>6750</v>
      </c>
      <c r="P301">
        <v>0</v>
      </c>
      <c r="Q301" t="s">
        <v>620</v>
      </c>
      <c r="R301" t="s">
        <v>31</v>
      </c>
      <c r="S301">
        <v>2025</v>
      </c>
      <c r="T301">
        <v>891200513</v>
      </c>
      <c r="U301" t="s">
        <v>124</v>
      </c>
    </row>
    <row r="302" spans="1:21" x14ac:dyDescent="0.25">
      <c r="A302" t="s">
        <v>21</v>
      </c>
      <c r="B302">
        <v>1001814</v>
      </c>
      <c r="C302" s="1">
        <v>45883</v>
      </c>
      <c r="D302">
        <v>1</v>
      </c>
      <c r="E302">
        <v>7</v>
      </c>
      <c r="F302">
        <v>999</v>
      </c>
      <c r="G302" t="s">
        <v>22</v>
      </c>
      <c r="J302">
        <v>24480515</v>
      </c>
      <c r="K302" t="s">
        <v>52</v>
      </c>
      <c r="L302">
        <v>800252922</v>
      </c>
      <c r="M302" t="s">
        <v>53</v>
      </c>
      <c r="N302">
        <v>0</v>
      </c>
      <c r="O302">
        <v>10270</v>
      </c>
      <c r="P302">
        <v>0</v>
      </c>
      <c r="Q302" t="s">
        <v>652</v>
      </c>
      <c r="R302" t="s">
        <v>31</v>
      </c>
      <c r="S302">
        <v>2025</v>
      </c>
      <c r="T302">
        <v>800252922</v>
      </c>
      <c r="U302" t="s">
        <v>53</v>
      </c>
    </row>
    <row r="303" spans="1:21" x14ac:dyDescent="0.25">
      <c r="A303" t="s">
        <v>21</v>
      </c>
      <c r="B303">
        <v>4000286</v>
      </c>
      <c r="C303" s="1">
        <v>45884</v>
      </c>
      <c r="D303">
        <v>4</v>
      </c>
      <c r="E303">
        <v>4</v>
      </c>
      <c r="F303">
        <v>999</v>
      </c>
      <c r="G303" t="s">
        <v>22</v>
      </c>
      <c r="J303">
        <v>24480510</v>
      </c>
      <c r="K303" t="s">
        <v>66</v>
      </c>
      <c r="L303">
        <v>800102912</v>
      </c>
      <c r="M303" t="s">
        <v>57</v>
      </c>
      <c r="N303">
        <v>2500000</v>
      </c>
      <c r="O303">
        <v>0</v>
      </c>
      <c r="P303">
        <v>11250</v>
      </c>
      <c r="Q303" t="s">
        <v>164</v>
      </c>
      <c r="R303" t="s">
        <v>165</v>
      </c>
      <c r="S303">
        <v>2025</v>
      </c>
      <c r="T303">
        <v>66808199</v>
      </c>
      <c r="U303" t="s">
        <v>166</v>
      </c>
    </row>
    <row r="304" spans="1:21" x14ac:dyDescent="0.25">
      <c r="A304" t="s">
        <v>21</v>
      </c>
      <c r="B304">
        <v>1001836</v>
      </c>
      <c r="C304" s="1">
        <v>45884</v>
      </c>
      <c r="D304">
        <v>1</v>
      </c>
      <c r="E304">
        <v>1</v>
      </c>
      <c r="F304">
        <v>999</v>
      </c>
      <c r="G304" t="s">
        <v>22</v>
      </c>
      <c r="J304">
        <v>24480502</v>
      </c>
      <c r="K304" t="s">
        <v>106</v>
      </c>
      <c r="L304">
        <v>800102891</v>
      </c>
      <c r="M304" t="s">
        <v>36</v>
      </c>
      <c r="N304">
        <v>580000</v>
      </c>
      <c r="O304">
        <v>0</v>
      </c>
      <c r="P304">
        <v>3480</v>
      </c>
      <c r="Q304" t="s">
        <v>448</v>
      </c>
      <c r="R304" t="s">
        <v>31</v>
      </c>
      <c r="S304">
        <v>2025</v>
      </c>
      <c r="T304">
        <v>1083896745</v>
      </c>
      <c r="U304" t="s">
        <v>449</v>
      </c>
    </row>
    <row r="305" spans="1:21" x14ac:dyDescent="0.25">
      <c r="A305" t="s">
        <v>21</v>
      </c>
      <c r="B305">
        <v>1001839</v>
      </c>
      <c r="C305" s="1">
        <v>45884</v>
      </c>
      <c r="D305">
        <v>1</v>
      </c>
      <c r="E305">
        <v>1</v>
      </c>
      <c r="F305">
        <v>999</v>
      </c>
      <c r="G305" t="s">
        <v>22</v>
      </c>
      <c r="J305">
        <v>24480502</v>
      </c>
      <c r="K305" t="s">
        <v>106</v>
      </c>
      <c r="L305">
        <v>800102891</v>
      </c>
      <c r="M305" t="s">
        <v>36</v>
      </c>
      <c r="N305">
        <v>793000</v>
      </c>
      <c r="O305">
        <v>0</v>
      </c>
      <c r="P305">
        <v>4758</v>
      </c>
      <c r="Q305" t="s">
        <v>619</v>
      </c>
      <c r="R305" t="s">
        <v>31</v>
      </c>
      <c r="S305">
        <v>2025</v>
      </c>
      <c r="T305">
        <v>18125023</v>
      </c>
      <c r="U305" t="s">
        <v>146</v>
      </c>
    </row>
    <row r="306" spans="1:21" x14ac:dyDescent="0.25">
      <c r="A306" t="s">
        <v>21</v>
      </c>
      <c r="B306">
        <v>1001846</v>
      </c>
      <c r="C306" s="1">
        <v>45888</v>
      </c>
      <c r="D306">
        <v>1</v>
      </c>
      <c r="E306">
        <v>1</v>
      </c>
      <c r="F306">
        <v>999</v>
      </c>
      <c r="G306" t="s">
        <v>22</v>
      </c>
      <c r="J306">
        <v>24480501</v>
      </c>
      <c r="K306" t="s">
        <v>35</v>
      </c>
      <c r="L306">
        <v>800102891</v>
      </c>
      <c r="M306" t="s">
        <v>36</v>
      </c>
      <c r="N306">
        <v>2200000</v>
      </c>
      <c r="O306">
        <v>0</v>
      </c>
      <c r="P306">
        <v>22000</v>
      </c>
      <c r="Q306" t="s">
        <v>73</v>
      </c>
      <c r="R306" t="s">
        <v>38</v>
      </c>
      <c r="S306">
        <v>2025</v>
      </c>
      <c r="T306">
        <v>18130206</v>
      </c>
      <c r="U306" t="s">
        <v>74</v>
      </c>
    </row>
    <row r="307" spans="1:21" x14ac:dyDescent="0.25">
      <c r="A307" t="s">
        <v>21</v>
      </c>
      <c r="B307">
        <v>1001841</v>
      </c>
      <c r="C307" s="1">
        <v>45888</v>
      </c>
      <c r="D307">
        <v>1</v>
      </c>
      <c r="E307">
        <v>8</v>
      </c>
      <c r="F307">
        <v>999</v>
      </c>
      <c r="G307" t="s">
        <v>22</v>
      </c>
      <c r="J307">
        <v>24480519</v>
      </c>
      <c r="K307" t="s">
        <v>32</v>
      </c>
      <c r="L307">
        <v>800054249</v>
      </c>
      <c r="M307" t="s">
        <v>33</v>
      </c>
      <c r="N307">
        <v>10839498</v>
      </c>
      <c r="O307">
        <v>0</v>
      </c>
      <c r="P307">
        <v>54197</v>
      </c>
      <c r="Q307" t="s">
        <v>215</v>
      </c>
      <c r="R307" t="s">
        <v>38</v>
      </c>
      <c r="S307">
        <v>2025</v>
      </c>
      <c r="T307">
        <v>900579315</v>
      </c>
      <c r="U307" t="s">
        <v>44</v>
      </c>
    </row>
    <row r="308" spans="1:21" x14ac:dyDescent="0.25">
      <c r="A308" t="s">
        <v>21</v>
      </c>
      <c r="B308">
        <v>1001842</v>
      </c>
      <c r="C308" s="1">
        <v>45888</v>
      </c>
      <c r="D308">
        <v>1</v>
      </c>
      <c r="E308">
        <v>8</v>
      </c>
      <c r="F308">
        <v>999</v>
      </c>
      <c r="G308" t="s">
        <v>22</v>
      </c>
      <c r="J308">
        <v>24480519</v>
      </c>
      <c r="K308" t="s">
        <v>32</v>
      </c>
      <c r="L308">
        <v>800054249</v>
      </c>
      <c r="M308" t="s">
        <v>33</v>
      </c>
      <c r="N308">
        <v>370000</v>
      </c>
      <c r="O308">
        <v>0</v>
      </c>
      <c r="P308">
        <v>1850</v>
      </c>
      <c r="Q308" t="s">
        <v>651</v>
      </c>
      <c r="R308" t="s">
        <v>38</v>
      </c>
      <c r="S308">
        <v>2025</v>
      </c>
      <c r="T308">
        <v>900579315</v>
      </c>
      <c r="U308" t="s">
        <v>44</v>
      </c>
    </row>
    <row r="309" spans="1:21" x14ac:dyDescent="0.25">
      <c r="A309" t="s">
        <v>21</v>
      </c>
      <c r="B309">
        <v>1001862</v>
      </c>
      <c r="C309" s="1">
        <v>45889</v>
      </c>
      <c r="D309">
        <v>1</v>
      </c>
      <c r="E309">
        <v>2</v>
      </c>
      <c r="F309">
        <v>999</v>
      </c>
      <c r="G309" t="s">
        <v>22</v>
      </c>
      <c r="J309">
        <v>24480517</v>
      </c>
      <c r="K309" t="s">
        <v>46</v>
      </c>
      <c r="L309">
        <v>891201645</v>
      </c>
      <c r="M309" t="s">
        <v>47</v>
      </c>
      <c r="N309">
        <v>-782906</v>
      </c>
      <c r="O309">
        <v>7829</v>
      </c>
      <c r="P309">
        <v>0</v>
      </c>
      <c r="Q309" t="s">
        <v>262</v>
      </c>
      <c r="R309" t="s">
        <v>38</v>
      </c>
      <c r="S309">
        <v>2025</v>
      </c>
      <c r="T309">
        <v>12960193</v>
      </c>
      <c r="U309" t="s">
        <v>50</v>
      </c>
    </row>
    <row r="310" spans="1:21" x14ac:dyDescent="0.25">
      <c r="A310" t="s">
        <v>21</v>
      </c>
      <c r="B310">
        <v>1001862</v>
      </c>
      <c r="C310" s="1">
        <v>45889</v>
      </c>
      <c r="D310">
        <v>1</v>
      </c>
      <c r="E310">
        <v>2</v>
      </c>
      <c r="F310">
        <v>999</v>
      </c>
      <c r="G310" t="s">
        <v>22</v>
      </c>
      <c r="J310">
        <v>24480517</v>
      </c>
      <c r="K310" t="s">
        <v>46</v>
      </c>
      <c r="L310">
        <v>891201645</v>
      </c>
      <c r="M310" t="s">
        <v>47</v>
      </c>
      <c r="N310">
        <v>782906</v>
      </c>
      <c r="O310">
        <v>0</v>
      </c>
      <c r="P310">
        <v>7829</v>
      </c>
      <c r="Q310" t="s">
        <v>262</v>
      </c>
      <c r="R310" t="s">
        <v>38</v>
      </c>
      <c r="S310">
        <v>2025</v>
      </c>
      <c r="T310">
        <v>901544280</v>
      </c>
      <c r="U310" t="s">
        <v>337</v>
      </c>
    </row>
    <row r="311" spans="1:21" x14ac:dyDescent="0.25">
      <c r="A311" t="s">
        <v>21</v>
      </c>
      <c r="B311">
        <v>1001865</v>
      </c>
      <c r="C311" s="1">
        <v>45890</v>
      </c>
      <c r="D311">
        <v>1</v>
      </c>
      <c r="E311">
        <v>1</v>
      </c>
      <c r="F311">
        <v>999</v>
      </c>
      <c r="G311" t="s">
        <v>22</v>
      </c>
      <c r="J311">
        <v>24480501</v>
      </c>
      <c r="K311" t="s">
        <v>35</v>
      </c>
      <c r="L311">
        <v>800102891</v>
      </c>
      <c r="M311" t="s">
        <v>36</v>
      </c>
      <c r="N311">
        <v>850000</v>
      </c>
      <c r="O311">
        <v>0</v>
      </c>
      <c r="P311">
        <v>8500</v>
      </c>
      <c r="Q311" t="s">
        <v>573</v>
      </c>
      <c r="R311" t="s">
        <v>38</v>
      </c>
      <c r="S311">
        <v>2025</v>
      </c>
      <c r="T311">
        <v>1010081868</v>
      </c>
      <c r="U311" t="s">
        <v>110</v>
      </c>
    </row>
    <row r="312" spans="1:21" x14ac:dyDescent="0.25">
      <c r="A312" t="s">
        <v>21</v>
      </c>
      <c r="B312">
        <v>5000070</v>
      </c>
      <c r="C312" s="1">
        <v>45891</v>
      </c>
      <c r="D312">
        <v>5</v>
      </c>
      <c r="E312">
        <v>5</v>
      </c>
      <c r="F312">
        <v>999</v>
      </c>
      <c r="G312" t="s">
        <v>22</v>
      </c>
      <c r="J312">
        <v>24480508</v>
      </c>
      <c r="K312" t="s">
        <v>23</v>
      </c>
      <c r="L312">
        <v>800102896</v>
      </c>
      <c r="M312" t="s">
        <v>24</v>
      </c>
      <c r="N312">
        <v>1360000</v>
      </c>
      <c r="O312">
        <v>0</v>
      </c>
      <c r="P312">
        <v>13600</v>
      </c>
      <c r="Q312" t="s">
        <v>319</v>
      </c>
      <c r="R312" t="s">
        <v>320</v>
      </c>
      <c r="S312">
        <v>2025</v>
      </c>
      <c r="T312">
        <v>66866584</v>
      </c>
      <c r="U312" t="s">
        <v>321</v>
      </c>
    </row>
    <row r="313" spans="1:21" x14ac:dyDescent="0.25">
      <c r="A313" t="s">
        <v>21</v>
      </c>
      <c r="B313">
        <v>1001884</v>
      </c>
      <c r="C313" s="1">
        <v>45894</v>
      </c>
      <c r="D313">
        <v>1</v>
      </c>
      <c r="E313">
        <v>1</v>
      </c>
      <c r="F313">
        <v>999</v>
      </c>
      <c r="G313" t="s">
        <v>22</v>
      </c>
      <c r="J313">
        <v>24480501</v>
      </c>
      <c r="K313" t="s">
        <v>35</v>
      </c>
      <c r="L313">
        <v>800102891</v>
      </c>
      <c r="M313" t="s">
        <v>36</v>
      </c>
      <c r="N313">
        <v>920000</v>
      </c>
      <c r="O313">
        <v>0</v>
      </c>
      <c r="P313">
        <v>9200</v>
      </c>
      <c r="Q313" t="s">
        <v>384</v>
      </c>
      <c r="R313" t="s">
        <v>38</v>
      </c>
      <c r="S313">
        <v>2025</v>
      </c>
      <c r="T313">
        <v>69009268</v>
      </c>
      <c r="U313" t="s">
        <v>385</v>
      </c>
    </row>
    <row r="314" spans="1:21" x14ac:dyDescent="0.25">
      <c r="A314" t="s">
        <v>21</v>
      </c>
      <c r="B314">
        <v>7000139</v>
      </c>
      <c r="C314" s="1">
        <v>45894</v>
      </c>
      <c r="D314">
        <v>7</v>
      </c>
      <c r="E314">
        <v>7</v>
      </c>
      <c r="F314">
        <v>999</v>
      </c>
      <c r="G314" t="s">
        <v>22</v>
      </c>
      <c r="J314">
        <v>24480515</v>
      </c>
      <c r="K314" t="s">
        <v>52</v>
      </c>
      <c r="L314">
        <v>800252922</v>
      </c>
      <c r="M314" t="s">
        <v>53</v>
      </c>
      <c r="N314">
        <v>200000</v>
      </c>
      <c r="O314">
        <v>0</v>
      </c>
      <c r="P314">
        <v>1000</v>
      </c>
      <c r="Q314" t="s">
        <v>576</v>
      </c>
      <c r="R314" t="s">
        <v>64</v>
      </c>
      <c r="S314">
        <v>2025</v>
      </c>
      <c r="T314">
        <v>15572024</v>
      </c>
      <c r="U314" t="s">
        <v>187</v>
      </c>
    </row>
    <row r="315" spans="1:21" x14ac:dyDescent="0.25">
      <c r="A315" t="s">
        <v>93</v>
      </c>
      <c r="B315">
        <v>1003503</v>
      </c>
      <c r="C315" s="1">
        <v>45894</v>
      </c>
      <c r="D315">
        <v>1</v>
      </c>
      <c r="E315">
        <v>1</v>
      </c>
      <c r="F315">
        <v>999</v>
      </c>
      <c r="G315" t="s">
        <v>22</v>
      </c>
      <c r="J315">
        <v>24480501</v>
      </c>
      <c r="K315" t="s">
        <v>35</v>
      </c>
      <c r="L315">
        <v>800102891</v>
      </c>
      <c r="M315" t="s">
        <v>36</v>
      </c>
      <c r="N315">
        <v>2142985</v>
      </c>
      <c r="O315">
        <v>0</v>
      </c>
      <c r="P315">
        <v>21430</v>
      </c>
      <c r="Q315" t="s">
        <v>674</v>
      </c>
      <c r="R315" t="s">
        <v>38</v>
      </c>
      <c r="S315">
        <v>2025</v>
      </c>
      <c r="T315">
        <v>18127828</v>
      </c>
      <c r="U315" t="s">
        <v>205</v>
      </c>
    </row>
    <row r="316" spans="1:21" x14ac:dyDescent="0.25">
      <c r="A316" t="s">
        <v>21</v>
      </c>
      <c r="B316">
        <v>1001896</v>
      </c>
      <c r="C316" s="1">
        <v>45895</v>
      </c>
      <c r="D316">
        <v>1</v>
      </c>
      <c r="E316">
        <v>1</v>
      </c>
      <c r="F316">
        <v>999</v>
      </c>
      <c r="G316" t="s">
        <v>22</v>
      </c>
      <c r="J316">
        <v>24480501</v>
      </c>
      <c r="K316" t="s">
        <v>35</v>
      </c>
      <c r="L316">
        <v>800102891</v>
      </c>
      <c r="M316" t="s">
        <v>36</v>
      </c>
      <c r="N316">
        <v>6594803</v>
      </c>
      <c r="O316">
        <v>0</v>
      </c>
      <c r="P316">
        <v>65948</v>
      </c>
      <c r="Q316" t="s">
        <v>276</v>
      </c>
      <c r="R316" t="s">
        <v>38</v>
      </c>
      <c r="S316">
        <v>2025</v>
      </c>
      <c r="T316">
        <v>18145427</v>
      </c>
      <c r="U316" t="s">
        <v>70</v>
      </c>
    </row>
    <row r="317" spans="1:21" x14ac:dyDescent="0.25">
      <c r="A317" t="s">
        <v>21</v>
      </c>
      <c r="B317">
        <v>5000073</v>
      </c>
      <c r="C317" s="1">
        <v>45895</v>
      </c>
      <c r="D317">
        <v>5</v>
      </c>
      <c r="E317">
        <v>5</v>
      </c>
      <c r="F317">
        <v>999</v>
      </c>
      <c r="G317" t="s">
        <v>22</v>
      </c>
      <c r="J317">
        <v>24480508</v>
      </c>
      <c r="K317" t="s">
        <v>23</v>
      </c>
      <c r="L317">
        <v>800102896</v>
      </c>
      <c r="M317" t="s">
        <v>24</v>
      </c>
      <c r="N317">
        <v>750000</v>
      </c>
      <c r="O317">
        <v>0</v>
      </c>
      <c r="P317">
        <v>7500</v>
      </c>
      <c r="Q317" t="s">
        <v>345</v>
      </c>
      <c r="R317" t="s">
        <v>320</v>
      </c>
      <c r="S317">
        <v>2025</v>
      </c>
      <c r="T317">
        <v>1123321998</v>
      </c>
      <c r="U317" t="s">
        <v>27</v>
      </c>
    </row>
    <row r="318" spans="1:21" x14ac:dyDescent="0.25">
      <c r="A318" t="s">
        <v>21</v>
      </c>
      <c r="B318">
        <v>2000325</v>
      </c>
      <c r="C318" s="1">
        <v>45895</v>
      </c>
      <c r="D318">
        <v>2</v>
      </c>
      <c r="E318">
        <v>2</v>
      </c>
      <c r="F318">
        <v>999</v>
      </c>
      <c r="G318" t="s">
        <v>22</v>
      </c>
      <c r="J318">
        <v>24480517</v>
      </c>
      <c r="K318" t="s">
        <v>46</v>
      </c>
      <c r="L318">
        <v>891201645</v>
      </c>
      <c r="M318" t="s">
        <v>47</v>
      </c>
      <c r="N318">
        <v>715100</v>
      </c>
      <c r="O318">
        <v>0</v>
      </c>
      <c r="P318">
        <v>7151</v>
      </c>
      <c r="Q318" t="s">
        <v>376</v>
      </c>
      <c r="R318" t="s">
        <v>49</v>
      </c>
      <c r="S318">
        <v>2025</v>
      </c>
      <c r="T318">
        <v>41181552</v>
      </c>
      <c r="U318" t="s">
        <v>304</v>
      </c>
    </row>
    <row r="319" spans="1:21" x14ac:dyDescent="0.25">
      <c r="A319" t="s">
        <v>21</v>
      </c>
      <c r="B319">
        <v>5000074</v>
      </c>
      <c r="C319" s="1">
        <v>45895</v>
      </c>
      <c r="D319">
        <v>5</v>
      </c>
      <c r="E319">
        <v>5</v>
      </c>
      <c r="F319">
        <v>999</v>
      </c>
      <c r="G319" t="s">
        <v>22</v>
      </c>
      <c r="J319">
        <v>24480508</v>
      </c>
      <c r="K319" t="s">
        <v>23</v>
      </c>
      <c r="L319">
        <v>800102896</v>
      </c>
      <c r="M319" t="s">
        <v>24</v>
      </c>
      <c r="N319">
        <v>1195000</v>
      </c>
      <c r="O319">
        <v>0</v>
      </c>
      <c r="P319">
        <v>11950</v>
      </c>
      <c r="Q319" t="s">
        <v>589</v>
      </c>
      <c r="R319" t="s">
        <v>320</v>
      </c>
      <c r="S319">
        <v>2025</v>
      </c>
      <c r="T319">
        <v>41108005</v>
      </c>
      <c r="U319" t="s">
        <v>400</v>
      </c>
    </row>
    <row r="320" spans="1:21" x14ac:dyDescent="0.25">
      <c r="A320" t="s">
        <v>21</v>
      </c>
      <c r="B320">
        <v>2000324</v>
      </c>
      <c r="C320" s="1">
        <v>45895</v>
      </c>
      <c r="D320">
        <v>2</v>
      </c>
      <c r="E320">
        <v>2</v>
      </c>
      <c r="F320">
        <v>999</v>
      </c>
      <c r="G320" t="s">
        <v>22</v>
      </c>
      <c r="J320">
        <v>24480518</v>
      </c>
      <c r="K320" t="s">
        <v>75</v>
      </c>
      <c r="L320">
        <v>891201645</v>
      </c>
      <c r="M320" t="s">
        <v>47</v>
      </c>
      <c r="N320">
        <v>300000</v>
      </c>
      <c r="O320">
        <v>0</v>
      </c>
      <c r="P320">
        <v>3000</v>
      </c>
      <c r="Q320" t="s">
        <v>603</v>
      </c>
      <c r="R320" t="s">
        <v>49</v>
      </c>
      <c r="S320">
        <v>2025</v>
      </c>
      <c r="T320">
        <v>900002514</v>
      </c>
      <c r="U320" t="s">
        <v>604</v>
      </c>
    </row>
    <row r="321" spans="1:21" x14ac:dyDescent="0.25">
      <c r="A321" t="s">
        <v>21</v>
      </c>
      <c r="B321">
        <v>2000327</v>
      </c>
      <c r="C321" s="1">
        <v>45896</v>
      </c>
      <c r="D321">
        <v>2</v>
      </c>
      <c r="E321">
        <v>2</v>
      </c>
      <c r="F321">
        <v>999</v>
      </c>
      <c r="G321" t="s">
        <v>22</v>
      </c>
      <c r="J321">
        <v>24480518</v>
      </c>
      <c r="K321" t="s">
        <v>75</v>
      </c>
      <c r="L321">
        <v>891201645</v>
      </c>
      <c r="M321" t="s">
        <v>47</v>
      </c>
      <c r="N321">
        <v>125000</v>
      </c>
      <c r="O321">
        <v>0</v>
      </c>
      <c r="P321">
        <v>1250</v>
      </c>
      <c r="Q321" t="s">
        <v>503</v>
      </c>
      <c r="R321" t="s">
        <v>49</v>
      </c>
      <c r="S321">
        <v>2025</v>
      </c>
      <c r="T321">
        <v>12748219</v>
      </c>
      <c r="U321" t="s">
        <v>443</v>
      </c>
    </row>
    <row r="322" spans="1:21" x14ac:dyDescent="0.25">
      <c r="A322" t="s">
        <v>21</v>
      </c>
      <c r="B322">
        <v>1001899</v>
      </c>
      <c r="C322" s="1">
        <v>45896</v>
      </c>
      <c r="D322">
        <v>1</v>
      </c>
      <c r="E322">
        <v>3</v>
      </c>
      <c r="F322">
        <v>999</v>
      </c>
      <c r="G322" t="s">
        <v>22</v>
      </c>
      <c r="J322">
        <v>24480506</v>
      </c>
      <c r="K322" t="s">
        <v>28</v>
      </c>
      <c r="L322">
        <v>891200461</v>
      </c>
      <c r="M322" t="s">
        <v>29</v>
      </c>
      <c r="N322">
        <v>5858585</v>
      </c>
      <c r="O322">
        <v>0</v>
      </c>
      <c r="P322">
        <v>58586</v>
      </c>
      <c r="Q322" t="s">
        <v>612</v>
      </c>
      <c r="R322" t="s">
        <v>38</v>
      </c>
      <c r="S322">
        <v>2025</v>
      </c>
      <c r="T322">
        <v>1123205616</v>
      </c>
      <c r="U322" t="s">
        <v>613</v>
      </c>
    </row>
    <row r="323" spans="1:21" x14ac:dyDescent="0.25">
      <c r="A323" t="s">
        <v>21</v>
      </c>
      <c r="B323">
        <v>2000330</v>
      </c>
      <c r="C323" s="1">
        <v>45896</v>
      </c>
      <c r="D323">
        <v>2</v>
      </c>
      <c r="E323">
        <v>2</v>
      </c>
      <c r="F323">
        <v>999</v>
      </c>
      <c r="G323" t="s">
        <v>22</v>
      </c>
      <c r="J323">
        <v>24480517</v>
      </c>
      <c r="K323" t="s">
        <v>46</v>
      </c>
      <c r="L323">
        <v>891201645</v>
      </c>
      <c r="M323" t="s">
        <v>47</v>
      </c>
      <c r="N323">
        <v>100000</v>
      </c>
      <c r="O323">
        <v>0</v>
      </c>
      <c r="P323">
        <v>1000</v>
      </c>
      <c r="Q323" t="s">
        <v>671</v>
      </c>
      <c r="R323" t="s">
        <v>49</v>
      </c>
      <c r="S323">
        <v>2025</v>
      </c>
      <c r="T323">
        <v>97471709</v>
      </c>
      <c r="U323" t="s">
        <v>672</v>
      </c>
    </row>
    <row r="324" spans="1:21" x14ac:dyDescent="0.25">
      <c r="A324" t="s">
        <v>21</v>
      </c>
      <c r="B324">
        <v>3000555</v>
      </c>
      <c r="C324" s="1">
        <v>45897</v>
      </c>
      <c r="D324">
        <v>3</v>
      </c>
      <c r="E324">
        <v>3</v>
      </c>
      <c r="F324">
        <v>999</v>
      </c>
      <c r="G324" t="s">
        <v>22</v>
      </c>
      <c r="J324">
        <v>24480505</v>
      </c>
      <c r="K324" t="s">
        <v>82</v>
      </c>
      <c r="L324">
        <v>891200461</v>
      </c>
      <c r="M324" t="s">
        <v>29</v>
      </c>
      <c r="N324">
        <v>544950</v>
      </c>
      <c r="O324">
        <v>0</v>
      </c>
      <c r="P324">
        <v>2724</v>
      </c>
      <c r="Q324" t="s">
        <v>221</v>
      </c>
      <c r="R324" t="s">
        <v>151</v>
      </c>
      <c r="S324">
        <v>2025</v>
      </c>
      <c r="T324">
        <v>1124855581</v>
      </c>
      <c r="U324" t="s">
        <v>222</v>
      </c>
    </row>
    <row r="325" spans="1:21" x14ac:dyDescent="0.25">
      <c r="A325" t="s">
        <v>21</v>
      </c>
      <c r="B325">
        <v>6000245</v>
      </c>
      <c r="C325" s="1">
        <v>45897</v>
      </c>
      <c r="D325">
        <v>6</v>
      </c>
      <c r="E325">
        <v>6</v>
      </c>
      <c r="F325">
        <v>999</v>
      </c>
      <c r="G325" t="s">
        <v>22</v>
      </c>
      <c r="J325">
        <v>24480512</v>
      </c>
      <c r="K325" t="s">
        <v>123</v>
      </c>
      <c r="L325">
        <v>891200513</v>
      </c>
      <c r="M325" t="s">
        <v>124</v>
      </c>
      <c r="N325">
        <v>735000</v>
      </c>
      <c r="O325">
        <v>0</v>
      </c>
      <c r="P325">
        <v>3675</v>
      </c>
      <c r="Q325" t="s">
        <v>382</v>
      </c>
      <c r="R325" t="s">
        <v>126</v>
      </c>
      <c r="S325">
        <v>2025</v>
      </c>
      <c r="T325">
        <v>1117961867</v>
      </c>
      <c r="U325" t="s">
        <v>383</v>
      </c>
    </row>
    <row r="326" spans="1:21" x14ac:dyDescent="0.25">
      <c r="A326" t="s">
        <v>21</v>
      </c>
      <c r="B326">
        <v>3000555</v>
      </c>
      <c r="C326" s="1">
        <v>45897</v>
      </c>
      <c r="D326">
        <v>3</v>
      </c>
      <c r="E326">
        <v>3</v>
      </c>
      <c r="F326">
        <v>999</v>
      </c>
      <c r="G326" t="s">
        <v>22</v>
      </c>
      <c r="J326">
        <v>24480505</v>
      </c>
      <c r="K326" t="s">
        <v>82</v>
      </c>
      <c r="L326">
        <v>891200461</v>
      </c>
      <c r="M326" t="s">
        <v>29</v>
      </c>
      <c r="N326">
        <v>520000</v>
      </c>
      <c r="O326">
        <v>0</v>
      </c>
      <c r="P326">
        <v>2080</v>
      </c>
      <c r="Q326" t="s">
        <v>221</v>
      </c>
      <c r="R326" t="s">
        <v>151</v>
      </c>
      <c r="S326">
        <v>2025</v>
      </c>
      <c r="T326">
        <v>1111195709</v>
      </c>
      <c r="U326" t="s">
        <v>556</v>
      </c>
    </row>
    <row r="327" spans="1:21" x14ac:dyDescent="0.25">
      <c r="A327" t="s">
        <v>21</v>
      </c>
      <c r="B327">
        <v>2000334</v>
      </c>
      <c r="C327" s="1">
        <v>45897</v>
      </c>
      <c r="D327">
        <v>2</v>
      </c>
      <c r="E327">
        <v>2</v>
      </c>
      <c r="F327">
        <v>999</v>
      </c>
      <c r="G327" t="s">
        <v>22</v>
      </c>
      <c r="J327">
        <v>24480518</v>
      </c>
      <c r="K327" t="s">
        <v>75</v>
      </c>
      <c r="L327">
        <v>891201645</v>
      </c>
      <c r="M327" t="s">
        <v>47</v>
      </c>
      <c r="N327">
        <v>1160000</v>
      </c>
      <c r="O327">
        <v>0</v>
      </c>
      <c r="P327">
        <v>11600</v>
      </c>
      <c r="Q327" t="s">
        <v>677</v>
      </c>
      <c r="R327" t="s">
        <v>49</v>
      </c>
      <c r="S327">
        <v>2025</v>
      </c>
      <c r="T327">
        <v>1122782141</v>
      </c>
      <c r="U327" t="s">
        <v>678</v>
      </c>
    </row>
    <row r="328" spans="1:21" x14ac:dyDescent="0.25">
      <c r="A328" t="s">
        <v>21</v>
      </c>
      <c r="B328">
        <v>7000143</v>
      </c>
      <c r="C328" s="1">
        <v>45898</v>
      </c>
      <c r="D328">
        <v>7</v>
      </c>
      <c r="E328">
        <v>7</v>
      </c>
      <c r="F328">
        <v>999</v>
      </c>
      <c r="G328" t="s">
        <v>22</v>
      </c>
      <c r="J328">
        <v>24480515</v>
      </c>
      <c r="K328" t="s">
        <v>52</v>
      </c>
      <c r="L328">
        <v>800252922</v>
      </c>
      <c r="M328" t="s">
        <v>53</v>
      </c>
      <c r="N328">
        <v>800000</v>
      </c>
      <c r="O328">
        <v>0</v>
      </c>
      <c r="P328">
        <v>4000</v>
      </c>
      <c r="Q328" t="s">
        <v>249</v>
      </c>
      <c r="R328" t="s">
        <v>64</v>
      </c>
      <c r="S328">
        <v>2025</v>
      </c>
      <c r="T328">
        <v>1123331500</v>
      </c>
      <c r="U328" t="s">
        <v>250</v>
      </c>
    </row>
    <row r="329" spans="1:21" x14ac:dyDescent="0.25">
      <c r="A329" t="s">
        <v>21</v>
      </c>
      <c r="B329">
        <v>1001915</v>
      </c>
      <c r="C329" s="1">
        <v>45898</v>
      </c>
      <c r="D329">
        <v>1</v>
      </c>
      <c r="E329">
        <v>1</v>
      </c>
      <c r="F329">
        <v>999</v>
      </c>
      <c r="G329" t="s">
        <v>22</v>
      </c>
      <c r="J329">
        <v>24480501</v>
      </c>
      <c r="K329" t="s">
        <v>35</v>
      </c>
      <c r="L329">
        <v>800102891</v>
      </c>
      <c r="M329" t="s">
        <v>36</v>
      </c>
      <c r="N329">
        <v>200000</v>
      </c>
      <c r="O329">
        <v>0</v>
      </c>
      <c r="P329">
        <v>2000</v>
      </c>
      <c r="Q329" t="s">
        <v>539</v>
      </c>
      <c r="R329" t="s">
        <v>168</v>
      </c>
      <c r="S329">
        <v>2025</v>
      </c>
      <c r="T329">
        <v>18127050</v>
      </c>
      <c r="U329" t="s">
        <v>540</v>
      </c>
    </row>
    <row r="330" spans="1:21" x14ac:dyDescent="0.25">
      <c r="A330" t="s">
        <v>21</v>
      </c>
      <c r="B330">
        <v>1001931</v>
      </c>
      <c r="C330" s="1">
        <v>45902</v>
      </c>
      <c r="D330">
        <v>1</v>
      </c>
      <c r="E330">
        <v>4</v>
      </c>
      <c r="F330">
        <v>999</v>
      </c>
      <c r="G330" t="s">
        <v>22</v>
      </c>
      <c r="J330">
        <v>24480510</v>
      </c>
      <c r="K330" t="s">
        <v>66</v>
      </c>
      <c r="L330">
        <v>800102912</v>
      </c>
      <c r="M330" t="s">
        <v>57</v>
      </c>
      <c r="N330">
        <v>179166</v>
      </c>
      <c r="O330">
        <v>0</v>
      </c>
      <c r="P330">
        <v>1254</v>
      </c>
      <c r="Q330" t="s">
        <v>278</v>
      </c>
      <c r="R330" t="s">
        <v>38</v>
      </c>
      <c r="S330">
        <v>2025</v>
      </c>
      <c r="T330">
        <v>900620983</v>
      </c>
      <c r="U330" t="s">
        <v>68</v>
      </c>
    </row>
    <row r="331" spans="1:21" x14ac:dyDescent="0.25">
      <c r="A331" t="s">
        <v>21</v>
      </c>
      <c r="B331">
        <v>1001937</v>
      </c>
      <c r="C331" s="1">
        <v>45902</v>
      </c>
      <c r="D331">
        <v>1</v>
      </c>
      <c r="E331">
        <v>4</v>
      </c>
      <c r="F331">
        <v>999</v>
      </c>
      <c r="G331" t="s">
        <v>22</v>
      </c>
      <c r="J331">
        <v>24480510</v>
      </c>
      <c r="K331" t="s">
        <v>66</v>
      </c>
      <c r="L331">
        <v>800102912</v>
      </c>
      <c r="M331" t="s">
        <v>57</v>
      </c>
      <c r="N331">
        <v>400000</v>
      </c>
      <c r="O331">
        <v>0</v>
      </c>
      <c r="P331">
        <v>2800</v>
      </c>
      <c r="Q331" t="s">
        <v>371</v>
      </c>
      <c r="R331" t="s">
        <v>38</v>
      </c>
      <c r="S331">
        <v>2025</v>
      </c>
      <c r="T331">
        <v>900620983</v>
      </c>
      <c r="U331" t="s">
        <v>68</v>
      </c>
    </row>
    <row r="332" spans="1:21" x14ac:dyDescent="0.25">
      <c r="A332" t="s">
        <v>21</v>
      </c>
      <c r="B332">
        <v>1001950</v>
      </c>
      <c r="C332" s="1">
        <v>45902</v>
      </c>
      <c r="D332">
        <v>1</v>
      </c>
      <c r="E332">
        <v>1</v>
      </c>
      <c r="F332">
        <v>999</v>
      </c>
      <c r="G332" t="s">
        <v>22</v>
      </c>
      <c r="J332">
        <v>24480502</v>
      </c>
      <c r="K332" t="s">
        <v>106</v>
      </c>
      <c r="L332">
        <v>800102891</v>
      </c>
      <c r="M332" t="s">
        <v>36</v>
      </c>
      <c r="N332">
        <v>1460504</v>
      </c>
      <c r="O332">
        <v>0</v>
      </c>
      <c r="P332">
        <v>8763</v>
      </c>
      <c r="Q332" t="s">
        <v>577</v>
      </c>
      <c r="R332" t="s">
        <v>38</v>
      </c>
      <c r="S332">
        <v>2025</v>
      </c>
      <c r="T332">
        <v>40079253</v>
      </c>
      <c r="U332" t="s">
        <v>578</v>
      </c>
    </row>
    <row r="333" spans="1:21" x14ac:dyDescent="0.25">
      <c r="A333" t="s">
        <v>21</v>
      </c>
      <c r="B333">
        <v>1001973</v>
      </c>
      <c r="C333" s="1">
        <v>45904</v>
      </c>
      <c r="D333">
        <v>1</v>
      </c>
      <c r="E333">
        <v>7</v>
      </c>
      <c r="F333">
        <v>999</v>
      </c>
      <c r="G333" t="s">
        <v>22</v>
      </c>
      <c r="J333">
        <v>24480515</v>
      </c>
      <c r="K333" t="s">
        <v>52</v>
      </c>
      <c r="L333">
        <v>800252922</v>
      </c>
      <c r="M333" t="s">
        <v>53</v>
      </c>
      <c r="N333">
        <v>100000</v>
      </c>
      <c r="O333">
        <v>0</v>
      </c>
      <c r="P333">
        <v>800</v>
      </c>
      <c r="Q333" t="s">
        <v>373</v>
      </c>
      <c r="R333" t="s">
        <v>38</v>
      </c>
      <c r="S333">
        <v>2025</v>
      </c>
      <c r="T333">
        <v>900502634</v>
      </c>
      <c r="U333" t="s">
        <v>55</v>
      </c>
    </row>
    <row r="334" spans="1:21" x14ac:dyDescent="0.25">
      <c r="A334" t="s">
        <v>21</v>
      </c>
      <c r="B334">
        <v>1001974</v>
      </c>
      <c r="C334" s="1">
        <v>45904</v>
      </c>
      <c r="D334">
        <v>1</v>
      </c>
      <c r="E334">
        <v>4</v>
      </c>
      <c r="F334">
        <v>999</v>
      </c>
      <c r="G334" t="s">
        <v>22</v>
      </c>
      <c r="J334">
        <v>24480510</v>
      </c>
      <c r="K334" t="s">
        <v>66</v>
      </c>
      <c r="L334">
        <v>800102912</v>
      </c>
      <c r="M334" t="s">
        <v>57</v>
      </c>
      <c r="N334">
        <v>380000</v>
      </c>
      <c r="O334">
        <v>0</v>
      </c>
      <c r="P334">
        <v>2660</v>
      </c>
      <c r="Q334" t="s">
        <v>473</v>
      </c>
      <c r="R334" t="s">
        <v>38</v>
      </c>
      <c r="S334">
        <v>2025</v>
      </c>
      <c r="T334">
        <v>900502634</v>
      </c>
      <c r="U334" t="s">
        <v>55</v>
      </c>
    </row>
    <row r="335" spans="1:21" x14ac:dyDescent="0.25">
      <c r="A335" t="s">
        <v>21</v>
      </c>
      <c r="B335">
        <v>1001975</v>
      </c>
      <c r="C335" s="1">
        <v>45904</v>
      </c>
      <c r="D335">
        <v>1</v>
      </c>
      <c r="E335">
        <v>1</v>
      </c>
      <c r="F335">
        <v>999</v>
      </c>
      <c r="G335" t="s">
        <v>22</v>
      </c>
      <c r="J335">
        <v>24480501</v>
      </c>
      <c r="K335" t="s">
        <v>35</v>
      </c>
      <c r="L335">
        <v>800102891</v>
      </c>
      <c r="M335" t="s">
        <v>36</v>
      </c>
      <c r="N335">
        <v>480000</v>
      </c>
      <c r="O335">
        <v>0</v>
      </c>
      <c r="P335">
        <v>4800</v>
      </c>
      <c r="Q335" t="s">
        <v>529</v>
      </c>
      <c r="R335" t="s">
        <v>38</v>
      </c>
      <c r="S335">
        <v>2025</v>
      </c>
      <c r="T335">
        <v>900437268</v>
      </c>
      <c r="U335" t="s">
        <v>39</v>
      </c>
    </row>
    <row r="336" spans="1:21" x14ac:dyDescent="0.25">
      <c r="A336" t="s">
        <v>21</v>
      </c>
      <c r="B336">
        <v>1001976</v>
      </c>
      <c r="C336" s="1">
        <v>45904</v>
      </c>
      <c r="D336">
        <v>1</v>
      </c>
      <c r="E336">
        <v>2</v>
      </c>
      <c r="F336">
        <v>999</v>
      </c>
      <c r="G336" t="s">
        <v>22</v>
      </c>
      <c r="J336">
        <v>24480518</v>
      </c>
      <c r="K336" t="s">
        <v>75</v>
      </c>
      <c r="L336">
        <v>891201645</v>
      </c>
      <c r="M336" t="s">
        <v>47</v>
      </c>
      <c r="N336">
        <v>270000</v>
      </c>
      <c r="O336">
        <v>0</v>
      </c>
      <c r="P336">
        <v>2700</v>
      </c>
      <c r="Q336" t="s">
        <v>629</v>
      </c>
      <c r="R336" t="s">
        <v>38</v>
      </c>
      <c r="S336">
        <v>2025</v>
      </c>
      <c r="T336">
        <v>900437268</v>
      </c>
      <c r="U336" t="s">
        <v>39</v>
      </c>
    </row>
    <row r="337" spans="1:21" x14ac:dyDescent="0.25">
      <c r="A337" t="s">
        <v>21</v>
      </c>
      <c r="B337">
        <v>1001970</v>
      </c>
      <c r="C337" s="1">
        <v>45904</v>
      </c>
      <c r="D337">
        <v>1</v>
      </c>
      <c r="E337">
        <v>4</v>
      </c>
      <c r="F337">
        <v>999</v>
      </c>
      <c r="G337" t="s">
        <v>22</v>
      </c>
      <c r="J337">
        <v>24480510</v>
      </c>
      <c r="K337" t="s">
        <v>66</v>
      </c>
      <c r="L337">
        <v>800102912</v>
      </c>
      <c r="M337" t="s">
        <v>57</v>
      </c>
      <c r="N337">
        <v>501050</v>
      </c>
      <c r="O337">
        <v>0</v>
      </c>
      <c r="P337">
        <v>3507</v>
      </c>
      <c r="Q337" t="s">
        <v>663</v>
      </c>
      <c r="R337" t="s">
        <v>38</v>
      </c>
      <c r="S337">
        <v>2025</v>
      </c>
      <c r="T337">
        <v>900620983</v>
      </c>
      <c r="U337" t="s">
        <v>68</v>
      </c>
    </row>
    <row r="338" spans="1:21" x14ac:dyDescent="0.25">
      <c r="A338" t="s">
        <v>21</v>
      </c>
      <c r="B338">
        <v>1001972</v>
      </c>
      <c r="C338" s="1">
        <v>45904</v>
      </c>
      <c r="D338">
        <v>1</v>
      </c>
      <c r="E338">
        <v>7</v>
      </c>
      <c r="F338">
        <v>999</v>
      </c>
      <c r="G338" t="s">
        <v>22</v>
      </c>
      <c r="J338">
        <v>24480515</v>
      </c>
      <c r="K338" t="s">
        <v>52</v>
      </c>
      <c r="L338">
        <v>800252922</v>
      </c>
      <c r="M338" t="s">
        <v>53</v>
      </c>
      <c r="N338">
        <v>380000</v>
      </c>
      <c r="O338">
        <v>0</v>
      </c>
      <c r="P338">
        <v>3040</v>
      </c>
      <c r="Q338" t="s">
        <v>673</v>
      </c>
      <c r="R338" t="s">
        <v>38</v>
      </c>
      <c r="S338">
        <v>2025</v>
      </c>
      <c r="T338">
        <v>900502634</v>
      </c>
      <c r="U338" t="s">
        <v>55</v>
      </c>
    </row>
    <row r="339" spans="1:21" x14ac:dyDescent="0.25">
      <c r="A339" t="s">
        <v>93</v>
      </c>
      <c r="B339">
        <v>4001925</v>
      </c>
      <c r="C339" s="1">
        <v>45905</v>
      </c>
      <c r="D339">
        <v>4</v>
      </c>
      <c r="E339">
        <v>4</v>
      </c>
      <c r="F339">
        <v>999</v>
      </c>
      <c r="G339" t="s">
        <v>22</v>
      </c>
      <c r="J339">
        <v>24480510</v>
      </c>
      <c r="K339" t="s">
        <v>66</v>
      </c>
      <c r="L339">
        <v>800102912</v>
      </c>
      <c r="M339" t="s">
        <v>57</v>
      </c>
      <c r="N339">
        <v>350000</v>
      </c>
      <c r="O339">
        <v>0</v>
      </c>
      <c r="P339">
        <v>2100</v>
      </c>
      <c r="Q339" t="s">
        <v>103</v>
      </c>
      <c r="R339" t="s">
        <v>59</v>
      </c>
      <c r="S339">
        <v>2025</v>
      </c>
      <c r="T339">
        <v>18153926</v>
      </c>
      <c r="U339" t="s">
        <v>104</v>
      </c>
    </row>
    <row r="340" spans="1:21" x14ac:dyDescent="0.25">
      <c r="A340" t="s">
        <v>21</v>
      </c>
      <c r="B340">
        <v>2000350</v>
      </c>
      <c r="C340" s="1">
        <v>45905</v>
      </c>
      <c r="D340">
        <v>2</v>
      </c>
      <c r="E340">
        <v>2</v>
      </c>
      <c r="F340">
        <v>999</v>
      </c>
      <c r="G340" t="s">
        <v>22</v>
      </c>
      <c r="J340">
        <v>24480518</v>
      </c>
      <c r="K340" t="s">
        <v>75</v>
      </c>
      <c r="L340">
        <v>891201645</v>
      </c>
      <c r="M340" t="s">
        <v>47</v>
      </c>
      <c r="N340">
        <v>120000</v>
      </c>
      <c r="O340">
        <v>0</v>
      </c>
      <c r="P340">
        <v>1200</v>
      </c>
      <c r="Q340" t="s">
        <v>351</v>
      </c>
      <c r="R340" t="s">
        <v>49</v>
      </c>
      <c r="S340">
        <v>2025</v>
      </c>
      <c r="T340">
        <v>97472144</v>
      </c>
      <c r="U340" t="s">
        <v>352</v>
      </c>
    </row>
    <row r="341" spans="1:21" x14ac:dyDescent="0.25">
      <c r="A341" t="s">
        <v>21</v>
      </c>
      <c r="B341">
        <v>1002027</v>
      </c>
      <c r="C341" s="1">
        <v>45908</v>
      </c>
      <c r="D341">
        <v>1</v>
      </c>
      <c r="E341">
        <v>2</v>
      </c>
      <c r="F341">
        <v>999</v>
      </c>
      <c r="G341" t="s">
        <v>22</v>
      </c>
      <c r="J341">
        <v>24480518</v>
      </c>
      <c r="K341" t="s">
        <v>75</v>
      </c>
      <c r="L341">
        <v>891201645</v>
      </c>
      <c r="M341" t="s">
        <v>47</v>
      </c>
      <c r="N341">
        <v>180000</v>
      </c>
      <c r="O341">
        <v>0</v>
      </c>
      <c r="P341">
        <v>1800</v>
      </c>
      <c r="Q341" t="s">
        <v>253</v>
      </c>
      <c r="R341" t="s">
        <v>38</v>
      </c>
      <c r="S341">
        <v>2025</v>
      </c>
      <c r="T341">
        <v>900219717</v>
      </c>
      <c r="U341" t="s">
        <v>254</v>
      </c>
    </row>
    <row r="342" spans="1:21" x14ac:dyDescent="0.25">
      <c r="A342" t="s">
        <v>21</v>
      </c>
      <c r="B342">
        <v>1002029</v>
      </c>
      <c r="C342" s="1">
        <v>45908</v>
      </c>
      <c r="D342">
        <v>1</v>
      </c>
      <c r="E342">
        <v>8</v>
      </c>
      <c r="F342">
        <v>999</v>
      </c>
      <c r="G342" t="s">
        <v>22</v>
      </c>
      <c r="J342">
        <v>24480519</v>
      </c>
      <c r="K342" t="s">
        <v>32</v>
      </c>
      <c r="L342">
        <v>800054249</v>
      </c>
      <c r="M342" t="s">
        <v>33</v>
      </c>
      <c r="N342">
        <v>1000000</v>
      </c>
      <c r="O342">
        <v>0</v>
      </c>
      <c r="P342">
        <v>6000</v>
      </c>
      <c r="Q342" t="s">
        <v>362</v>
      </c>
      <c r="R342" t="s">
        <v>38</v>
      </c>
      <c r="S342">
        <v>2025</v>
      </c>
      <c r="T342">
        <v>41170646</v>
      </c>
      <c r="U342" t="s">
        <v>354</v>
      </c>
    </row>
    <row r="343" spans="1:21" x14ac:dyDescent="0.25">
      <c r="A343" t="s">
        <v>21</v>
      </c>
      <c r="B343">
        <v>1002029</v>
      </c>
      <c r="C343" s="1">
        <v>45908</v>
      </c>
      <c r="D343">
        <v>1</v>
      </c>
      <c r="E343">
        <v>8</v>
      </c>
      <c r="F343">
        <v>999</v>
      </c>
      <c r="G343" t="s">
        <v>22</v>
      </c>
      <c r="J343">
        <v>24480519</v>
      </c>
      <c r="K343" t="s">
        <v>32</v>
      </c>
      <c r="L343">
        <v>800054249</v>
      </c>
      <c r="M343" t="s">
        <v>33</v>
      </c>
      <c r="N343">
        <v>150000</v>
      </c>
      <c r="O343">
        <v>0</v>
      </c>
      <c r="P343">
        <v>900</v>
      </c>
      <c r="Q343" t="s">
        <v>429</v>
      </c>
      <c r="R343" t="s">
        <v>38</v>
      </c>
      <c r="S343">
        <v>2025</v>
      </c>
      <c r="T343">
        <v>18126084</v>
      </c>
      <c r="U343" t="s">
        <v>430</v>
      </c>
    </row>
    <row r="344" spans="1:21" x14ac:dyDescent="0.25">
      <c r="A344" t="s">
        <v>21</v>
      </c>
      <c r="B344">
        <v>1002028</v>
      </c>
      <c r="C344" s="1">
        <v>45908</v>
      </c>
      <c r="D344">
        <v>1</v>
      </c>
      <c r="E344">
        <v>2</v>
      </c>
      <c r="F344">
        <v>999</v>
      </c>
      <c r="G344" t="s">
        <v>22</v>
      </c>
      <c r="J344">
        <v>24480518</v>
      </c>
      <c r="K344" t="s">
        <v>75</v>
      </c>
      <c r="L344">
        <v>891201645</v>
      </c>
      <c r="M344" t="s">
        <v>47</v>
      </c>
      <c r="N344">
        <v>23800000</v>
      </c>
      <c r="O344">
        <v>0</v>
      </c>
      <c r="P344">
        <v>238000</v>
      </c>
      <c r="Q344" t="s">
        <v>453</v>
      </c>
      <c r="R344" t="s">
        <v>38</v>
      </c>
      <c r="S344">
        <v>2025</v>
      </c>
      <c r="T344">
        <v>1085262104</v>
      </c>
      <c r="U344" t="s">
        <v>454</v>
      </c>
    </row>
    <row r="345" spans="1:21" x14ac:dyDescent="0.25">
      <c r="A345" t="s">
        <v>21</v>
      </c>
      <c r="B345">
        <v>1002029</v>
      </c>
      <c r="C345" s="1">
        <v>45908</v>
      </c>
      <c r="D345">
        <v>1</v>
      </c>
      <c r="E345">
        <v>8</v>
      </c>
      <c r="F345">
        <v>999</v>
      </c>
      <c r="G345" t="s">
        <v>22</v>
      </c>
      <c r="J345">
        <v>24480519</v>
      </c>
      <c r="K345" t="s">
        <v>32</v>
      </c>
      <c r="L345">
        <v>800054249</v>
      </c>
      <c r="M345" t="s">
        <v>33</v>
      </c>
      <c r="N345">
        <v>300000</v>
      </c>
      <c r="O345">
        <v>0</v>
      </c>
      <c r="P345">
        <v>1800</v>
      </c>
      <c r="Q345" t="s">
        <v>610</v>
      </c>
      <c r="R345" t="s">
        <v>38</v>
      </c>
      <c r="S345">
        <v>2025</v>
      </c>
      <c r="T345">
        <v>79790378</v>
      </c>
      <c r="U345" t="s">
        <v>611</v>
      </c>
    </row>
    <row r="346" spans="1:21" x14ac:dyDescent="0.25">
      <c r="A346" t="s">
        <v>21</v>
      </c>
      <c r="B346">
        <v>1002030</v>
      </c>
      <c r="C346" s="1">
        <v>45909</v>
      </c>
      <c r="D346">
        <v>1</v>
      </c>
      <c r="E346">
        <v>4</v>
      </c>
      <c r="F346">
        <v>999</v>
      </c>
      <c r="G346" t="s">
        <v>22</v>
      </c>
      <c r="J346">
        <v>24480509</v>
      </c>
      <c r="K346" t="s">
        <v>56</v>
      </c>
      <c r="L346">
        <v>800102912</v>
      </c>
      <c r="M346" t="s">
        <v>57</v>
      </c>
      <c r="N346">
        <v>3375630</v>
      </c>
      <c r="O346">
        <v>0</v>
      </c>
      <c r="P346">
        <v>23629</v>
      </c>
      <c r="Q346" t="s">
        <v>101</v>
      </c>
      <c r="R346" t="s">
        <v>38</v>
      </c>
      <c r="S346">
        <v>2025</v>
      </c>
      <c r="T346">
        <v>901452326</v>
      </c>
      <c r="U346" t="s">
        <v>102</v>
      </c>
    </row>
    <row r="347" spans="1:21" x14ac:dyDescent="0.25">
      <c r="A347" t="s">
        <v>21</v>
      </c>
      <c r="B347">
        <v>1002061</v>
      </c>
      <c r="C347" s="1">
        <v>45910</v>
      </c>
      <c r="D347">
        <v>1</v>
      </c>
      <c r="E347">
        <v>2</v>
      </c>
      <c r="F347">
        <v>999</v>
      </c>
      <c r="G347" t="s">
        <v>22</v>
      </c>
      <c r="J347">
        <v>24480518</v>
      </c>
      <c r="K347" t="s">
        <v>75</v>
      </c>
      <c r="L347">
        <v>891201645</v>
      </c>
      <c r="M347" t="s">
        <v>47</v>
      </c>
      <c r="N347">
        <v>0</v>
      </c>
      <c r="O347">
        <v>26350</v>
      </c>
      <c r="P347">
        <v>0</v>
      </c>
      <c r="Q347" t="s">
        <v>78</v>
      </c>
      <c r="R347" t="s">
        <v>38</v>
      </c>
      <c r="S347">
        <v>2025</v>
      </c>
      <c r="T347">
        <v>891201645</v>
      </c>
      <c r="U347" t="s">
        <v>47</v>
      </c>
    </row>
    <row r="348" spans="1:21" x14ac:dyDescent="0.25">
      <c r="A348" t="s">
        <v>21</v>
      </c>
      <c r="B348">
        <v>1002062</v>
      </c>
      <c r="C348" s="1">
        <v>45910</v>
      </c>
      <c r="D348">
        <v>1</v>
      </c>
      <c r="E348">
        <v>1</v>
      </c>
      <c r="F348">
        <v>999</v>
      </c>
      <c r="G348" t="s">
        <v>22</v>
      </c>
      <c r="J348">
        <v>24480502</v>
      </c>
      <c r="K348" t="s">
        <v>106</v>
      </c>
      <c r="L348">
        <v>800102891</v>
      </c>
      <c r="M348" t="s">
        <v>36</v>
      </c>
      <c r="N348">
        <v>0</v>
      </c>
      <c r="O348">
        <v>8238</v>
      </c>
      <c r="P348">
        <v>0</v>
      </c>
      <c r="Q348" t="s">
        <v>107</v>
      </c>
      <c r="R348" t="s">
        <v>38</v>
      </c>
      <c r="S348">
        <v>2025</v>
      </c>
      <c r="T348">
        <v>800102891</v>
      </c>
      <c r="U348" t="s">
        <v>36</v>
      </c>
    </row>
    <row r="349" spans="1:21" x14ac:dyDescent="0.25">
      <c r="A349" t="s">
        <v>21</v>
      </c>
      <c r="B349">
        <v>1002056</v>
      </c>
      <c r="C349" s="1">
        <v>45910</v>
      </c>
      <c r="D349">
        <v>1</v>
      </c>
      <c r="E349">
        <v>7</v>
      </c>
      <c r="F349">
        <v>999</v>
      </c>
      <c r="G349" t="s">
        <v>22</v>
      </c>
      <c r="J349">
        <v>24480515</v>
      </c>
      <c r="K349" t="s">
        <v>52</v>
      </c>
      <c r="L349">
        <v>800252922</v>
      </c>
      <c r="M349" t="s">
        <v>53</v>
      </c>
      <c r="N349">
        <v>0</v>
      </c>
      <c r="O349">
        <v>8840</v>
      </c>
      <c r="P349">
        <v>0</v>
      </c>
      <c r="Q349" t="s">
        <v>141</v>
      </c>
      <c r="R349" t="s">
        <v>38</v>
      </c>
      <c r="S349">
        <v>2025</v>
      </c>
      <c r="T349">
        <v>800252922</v>
      </c>
      <c r="U349" t="s">
        <v>53</v>
      </c>
    </row>
    <row r="350" spans="1:21" x14ac:dyDescent="0.25">
      <c r="A350" t="s">
        <v>21</v>
      </c>
      <c r="B350">
        <v>1002059</v>
      </c>
      <c r="C350" s="1">
        <v>45910</v>
      </c>
      <c r="D350">
        <v>1</v>
      </c>
      <c r="E350">
        <v>4</v>
      </c>
      <c r="F350">
        <v>999</v>
      </c>
      <c r="G350" t="s">
        <v>22</v>
      </c>
      <c r="J350">
        <v>24480510</v>
      </c>
      <c r="K350" t="s">
        <v>66</v>
      </c>
      <c r="L350">
        <v>800102912</v>
      </c>
      <c r="M350" t="s">
        <v>57</v>
      </c>
      <c r="N350">
        <v>0</v>
      </c>
      <c r="O350">
        <v>20217</v>
      </c>
      <c r="P350">
        <v>0</v>
      </c>
      <c r="Q350" t="s">
        <v>142</v>
      </c>
      <c r="R350" t="s">
        <v>38</v>
      </c>
      <c r="S350">
        <v>2025</v>
      </c>
      <c r="T350">
        <v>800102912</v>
      </c>
      <c r="U350" t="s">
        <v>57</v>
      </c>
    </row>
    <row r="351" spans="1:21" x14ac:dyDescent="0.25">
      <c r="A351" t="s">
        <v>21</v>
      </c>
      <c r="B351">
        <v>3000578</v>
      </c>
      <c r="C351" s="1">
        <v>45910</v>
      </c>
      <c r="D351">
        <v>3</v>
      </c>
      <c r="E351">
        <v>3</v>
      </c>
      <c r="F351">
        <v>999</v>
      </c>
      <c r="G351" t="s">
        <v>22</v>
      </c>
      <c r="J351">
        <v>24480505</v>
      </c>
      <c r="K351" t="s">
        <v>82</v>
      </c>
      <c r="L351">
        <v>891200461</v>
      </c>
      <c r="M351" t="s">
        <v>29</v>
      </c>
      <c r="N351">
        <v>659915</v>
      </c>
      <c r="O351">
        <v>0</v>
      </c>
      <c r="P351">
        <v>5279</v>
      </c>
      <c r="Q351" t="s">
        <v>183</v>
      </c>
      <c r="R351" t="s">
        <v>84</v>
      </c>
      <c r="S351">
        <v>2025</v>
      </c>
      <c r="T351">
        <v>52952416</v>
      </c>
      <c r="U351" t="s">
        <v>184</v>
      </c>
    </row>
    <row r="352" spans="1:21" x14ac:dyDescent="0.25">
      <c r="A352" t="s">
        <v>21</v>
      </c>
      <c r="B352">
        <v>1002060</v>
      </c>
      <c r="C352" s="1">
        <v>45910</v>
      </c>
      <c r="D352">
        <v>1</v>
      </c>
      <c r="E352">
        <v>3</v>
      </c>
      <c r="F352">
        <v>999</v>
      </c>
      <c r="G352" t="s">
        <v>22</v>
      </c>
      <c r="J352">
        <v>24480505</v>
      </c>
      <c r="K352" t="s">
        <v>82</v>
      </c>
      <c r="L352">
        <v>891200461</v>
      </c>
      <c r="M352" t="s">
        <v>29</v>
      </c>
      <c r="N352">
        <v>0</v>
      </c>
      <c r="O352">
        <v>4804</v>
      </c>
      <c r="P352">
        <v>0</v>
      </c>
      <c r="Q352" t="s">
        <v>185</v>
      </c>
      <c r="R352" t="s">
        <v>38</v>
      </c>
      <c r="S352">
        <v>2025</v>
      </c>
      <c r="T352">
        <v>891200461</v>
      </c>
      <c r="U352" t="s">
        <v>29</v>
      </c>
    </row>
    <row r="353" spans="1:21" x14ac:dyDescent="0.25">
      <c r="A353" t="s">
        <v>21</v>
      </c>
      <c r="B353">
        <v>1002058</v>
      </c>
      <c r="C353" s="1">
        <v>45910</v>
      </c>
      <c r="D353">
        <v>1</v>
      </c>
      <c r="E353">
        <v>5</v>
      </c>
      <c r="F353">
        <v>999</v>
      </c>
      <c r="G353" t="s">
        <v>22</v>
      </c>
      <c r="J353">
        <v>24480507</v>
      </c>
      <c r="K353" t="s">
        <v>219</v>
      </c>
      <c r="L353">
        <v>800102896</v>
      </c>
      <c r="M353" t="s">
        <v>24</v>
      </c>
      <c r="N353">
        <v>0</v>
      </c>
      <c r="O353">
        <v>33800</v>
      </c>
      <c r="P353">
        <v>0</v>
      </c>
      <c r="Q353" t="s">
        <v>346</v>
      </c>
      <c r="R353" t="s">
        <v>38</v>
      </c>
      <c r="S353">
        <v>2025</v>
      </c>
      <c r="T353">
        <v>800102896</v>
      </c>
      <c r="U353" t="s">
        <v>24</v>
      </c>
    </row>
    <row r="354" spans="1:21" x14ac:dyDescent="0.25">
      <c r="A354" t="s">
        <v>21</v>
      </c>
      <c r="B354">
        <v>1002058</v>
      </c>
      <c r="C354" s="1">
        <v>45910</v>
      </c>
      <c r="D354">
        <v>1</v>
      </c>
      <c r="E354">
        <v>5</v>
      </c>
      <c r="F354">
        <v>999</v>
      </c>
      <c r="G354" t="s">
        <v>22</v>
      </c>
      <c r="J354">
        <v>24480508</v>
      </c>
      <c r="K354" t="s">
        <v>23</v>
      </c>
      <c r="L354">
        <v>800102896</v>
      </c>
      <c r="M354" t="s">
        <v>24</v>
      </c>
      <c r="N354">
        <v>0</v>
      </c>
      <c r="O354">
        <v>33050</v>
      </c>
      <c r="P354">
        <v>0</v>
      </c>
      <c r="Q354" t="s">
        <v>346</v>
      </c>
      <c r="R354" t="s">
        <v>38</v>
      </c>
      <c r="S354">
        <v>2025</v>
      </c>
      <c r="T354">
        <v>800102896</v>
      </c>
      <c r="U354" t="s">
        <v>24</v>
      </c>
    </row>
    <row r="355" spans="1:21" x14ac:dyDescent="0.25">
      <c r="A355" t="s">
        <v>21</v>
      </c>
      <c r="B355">
        <v>1002060</v>
      </c>
      <c r="C355" s="1">
        <v>45910</v>
      </c>
      <c r="D355">
        <v>1</v>
      </c>
      <c r="E355">
        <v>3</v>
      </c>
      <c r="F355">
        <v>999</v>
      </c>
      <c r="G355" t="s">
        <v>22</v>
      </c>
      <c r="J355">
        <v>24480506</v>
      </c>
      <c r="K355" t="s">
        <v>28</v>
      </c>
      <c r="L355">
        <v>891200461</v>
      </c>
      <c r="M355" t="s">
        <v>29</v>
      </c>
      <c r="N355">
        <v>0</v>
      </c>
      <c r="O355">
        <v>58586</v>
      </c>
      <c r="P355">
        <v>0</v>
      </c>
      <c r="Q355" t="s">
        <v>185</v>
      </c>
      <c r="R355" t="s">
        <v>38</v>
      </c>
      <c r="S355">
        <v>2025</v>
      </c>
      <c r="T355">
        <v>891200461</v>
      </c>
      <c r="U355" t="s">
        <v>29</v>
      </c>
    </row>
    <row r="356" spans="1:21" x14ac:dyDescent="0.25">
      <c r="A356" t="s">
        <v>21</v>
      </c>
      <c r="B356">
        <v>1002062</v>
      </c>
      <c r="C356" s="1">
        <v>45910</v>
      </c>
      <c r="D356">
        <v>1</v>
      </c>
      <c r="E356">
        <v>1</v>
      </c>
      <c r="F356">
        <v>999</v>
      </c>
      <c r="G356" t="s">
        <v>22</v>
      </c>
      <c r="J356">
        <v>24480501</v>
      </c>
      <c r="K356" t="s">
        <v>35</v>
      </c>
      <c r="L356">
        <v>800102891</v>
      </c>
      <c r="M356" t="s">
        <v>36</v>
      </c>
      <c r="N356">
        <v>0</v>
      </c>
      <c r="O356">
        <v>146828</v>
      </c>
      <c r="P356">
        <v>0</v>
      </c>
      <c r="Q356" t="s">
        <v>107</v>
      </c>
      <c r="R356" t="s">
        <v>38</v>
      </c>
      <c r="S356">
        <v>2025</v>
      </c>
      <c r="T356">
        <v>800102891</v>
      </c>
      <c r="U356" t="s">
        <v>36</v>
      </c>
    </row>
    <row r="357" spans="1:21" x14ac:dyDescent="0.25">
      <c r="A357" t="s">
        <v>21</v>
      </c>
      <c r="B357">
        <v>1002061</v>
      </c>
      <c r="C357" s="1">
        <v>45910</v>
      </c>
      <c r="D357">
        <v>1</v>
      </c>
      <c r="E357">
        <v>2</v>
      </c>
      <c r="F357">
        <v>999</v>
      </c>
      <c r="G357" t="s">
        <v>22</v>
      </c>
      <c r="J357">
        <v>24480517</v>
      </c>
      <c r="K357" t="s">
        <v>46</v>
      </c>
      <c r="L357">
        <v>891201645</v>
      </c>
      <c r="M357" t="s">
        <v>47</v>
      </c>
      <c r="N357">
        <v>0</v>
      </c>
      <c r="O357">
        <v>8151</v>
      </c>
      <c r="P357">
        <v>0</v>
      </c>
      <c r="Q357" t="s">
        <v>78</v>
      </c>
      <c r="R357" t="s">
        <v>38</v>
      </c>
      <c r="S357">
        <v>2025</v>
      </c>
      <c r="T357">
        <v>891201645</v>
      </c>
      <c r="U357" t="s">
        <v>47</v>
      </c>
    </row>
    <row r="358" spans="1:21" x14ac:dyDescent="0.25">
      <c r="A358" t="s">
        <v>21</v>
      </c>
      <c r="B358">
        <v>1002057</v>
      </c>
      <c r="C358" s="1">
        <v>45910</v>
      </c>
      <c r="D358">
        <v>1</v>
      </c>
      <c r="E358">
        <v>6</v>
      </c>
      <c r="F358">
        <v>999</v>
      </c>
      <c r="G358" t="s">
        <v>22</v>
      </c>
      <c r="J358">
        <v>24480512</v>
      </c>
      <c r="K358" t="s">
        <v>123</v>
      </c>
      <c r="L358">
        <v>891200513</v>
      </c>
      <c r="M358" t="s">
        <v>124</v>
      </c>
      <c r="N358">
        <v>0</v>
      </c>
      <c r="O358">
        <v>10425</v>
      </c>
      <c r="P358">
        <v>0</v>
      </c>
      <c r="Q358" t="s">
        <v>541</v>
      </c>
      <c r="R358" t="s">
        <v>38</v>
      </c>
      <c r="S358">
        <v>2025</v>
      </c>
      <c r="T358">
        <v>891200513</v>
      </c>
      <c r="U358" t="s">
        <v>124</v>
      </c>
    </row>
    <row r="359" spans="1:21" x14ac:dyDescent="0.25">
      <c r="A359" t="s">
        <v>21</v>
      </c>
      <c r="B359">
        <v>1002055</v>
      </c>
      <c r="C359" s="1">
        <v>45910</v>
      </c>
      <c r="D359">
        <v>1</v>
      </c>
      <c r="E359">
        <v>8</v>
      </c>
      <c r="F359">
        <v>999</v>
      </c>
      <c r="G359" t="s">
        <v>22</v>
      </c>
      <c r="J359">
        <v>24480519</v>
      </c>
      <c r="K359" t="s">
        <v>32</v>
      </c>
      <c r="L359">
        <v>800054249</v>
      </c>
      <c r="M359" t="s">
        <v>33</v>
      </c>
      <c r="N359">
        <v>0</v>
      </c>
      <c r="O359">
        <v>56047</v>
      </c>
      <c r="P359">
        <v>0</v>
      </c>
      <c r="Q359" t="s">
        <v>622</v>
      </c>
      <c r="R359" t="s">
        <v>38</v>
      </c>
      <c r="S359">
        <v>2025</v>
      </c>
      <c r="T359">
        <v>800054249</v>
      </c>
      <c r="U359" t="s">
        <v>33</v>
      </c>
    </row>
    <row r="360" spans="1:21" x14ac:dyDescent="0.25">
      <c r="A360" t="s">
        <v>21</v>
      </c>
      <c r="B360">
        <v>1002054</v>
      </c>
      <c r="C360" s="1">
        <v>45910</v>
      </c>
      <c r="D360">
        <v>1</v>
      </c>
      <c r="E360">
        <v>7</v>
      </c>
      <c r="F360">
        <v>999</v>
      </c>
      <c r="G360" t="s">
        <v>22</v>
      </c>
      <c r="J360">
        <v>24480515</v>
      </c>
      <c r="K360" t="s">
        <v>52</v>
      </c>
      <c r="L360">
        <v>800252922</v>
      </c>
      <c r="M360" t="s">
        <v>53</v>
      </c>
      <c r="N360">
        <v>800000</v>
      </c>
      <c r="O360">
        <v>0</v>
      </c>
      <c r="P360">
        <v>6400</v>
      </c>
      <c r="Q360" t="s">
        <v>675</v>
      </c>
      <c r="R360" t="s">
        <v>38</v>
      </c>
      <c r="S360">
        <v>2025</v>
      </c>
      <c r="T360">
        <v>900620983</v>
      </c>
      <c r="U360" t="s">
        <v>68</v>
      </c>
    </row>
    <row r="361" spans="1:21" x14ac:dyDescent="0.25">
      <c r="A361" t="s">
        <v>21</v>
      </c>
      <c r="B361">
        <v>7000148</v>
      </c>
      <c r="C361" s="1">
        <v>45911</v>
      </c>
      <c r="D361">
        <v>7</v>
      </c>
      <c r="E361">
        <v>7</v>
      </c>
      <c r="F361">
        <v>999</v>
      </c>
      <c r="G361" t="s">
        <v>22</v>
      </c>
      <c r="J361">
        <v>24480516</v>
      </c>
      <c r="K361" t="s">
        <v>79</v>
      </c>
      <c r="L361">
        <v>800252922</v>
      </c>
      <c r="M361" t="s">
        <v>53</v>
      </c>
      <c r="N361">
        <v>596000</v>
      </c>
      <c r="O361">
        <v>0</v>
      </c>
      <c r="P361">
        <v>2980</v>
      </c>
      <c r="Q361" t="s">
        <v>587</v>
      </c>
      <c r="R361" t="s">
        <v>64</v>
      </c>
      <c r="S361">
        <v>2025</v>
      </c>
      <c r="T361">
        <v>97471301</v>
      </c>
      <c r="U361" t="s">
        <v>588</v>
      </c>
    </row>
    <row r="362" spans="1:21" x14ac:dyDescent="0.25">
      <c r="A362" t="s">
        <v>21</v>
      </c>
      <c r="B362">
        <v>1002120</v>
      </c>
      <c r="C362" s="1">
        <v>45918</v>
      </c>
      <c r="D362">
        <v>1</v>
      </c>
      <c r="E362">
        <v>8</v>
      </c>
      <c r="F362">
        <v>999</v>
      </c>
      <c r="G362" t="s">
        <v>22</v>
      </c>
      <c r="J362">
        <v>24480519</v>
      </c>
      <c r="K362" t="s">
        <v>32</v>
      </c>
      <c r="L362">
        <v>800054249</v>
      </c>
      <c r="M362" t="s">
        <v>33</v>
      </c>
      <c r="N362">
        <v>370000</v>
      </c>
      <c r="O362">
        <v>0</v>
      </c>
      <c r="P362">
        <v>1850</v>
      </c>
      <c r="Q362" t="s">
        <v>343</v>
      </c>
      <c r="R362" t="s">
        <v>38</v>
      </c>
      <c r="S362">
        <v>2025</v>
      </c>
      <c r="T362">
        <v>900579315</v>
      </c>
      <c r="U362" t="s">
        <v>44</v>
      </c>
    </row>
    <row r="363" spans="1:21" x14ac:dyDescent="0.25">
      <c r="A363" t="s">
        <v>21</v>
      </c>
      <c r="B363">
        <v>1002119</v>
      </c>
      <c r="C363" s="1">
        <v>45918</v>
      </c>
      <c r="D363">
        <v>1</v>
      </c>
      <c r="E363">
        <v>8</v>
      </c>
      <c r="F363">
        <v>999</v>
      </c>
      <c r="G363" t="s">
        <v>22</v>
      </c>
      <c r="J363">
        <v>24480519</v>
      </c>
      <c r="K363" t="s">
        <v>32</v>
      </c>
      <c r="L363">
        <v>800054249</v>
      </c>
      <c r="M363" t="s">
        <v>33</v>
      </c>
      <c r="N363">
        <v>10839498</v>
      </c>
      <c r="O363">
        <v>0</v>
      </c>
      <c r="P363">
        <v>54197</v>
      </c>
      <c r="Q363" t="s">
        <v>630</v>
      </c>
      <c r="R363" t="s">
        <v>38</v>
      </c>
      <c r="S363">
        <v>2025</v>
      </c>
      <c r="T363">
        <v>900579315</v>
      </c>
      <c r="U363" t="s">
        <v>44</v>
      </c>
    </row>
    <row r="364" spans="1:21" x14ac:dyDescent="0.25">
      <c r="A364" t="s">
        <v>21</v>
      </c>
      <c r="B364">
        <v>6000281</v>
      </c>
      <c r="C364" s="1">
        <v>45922</v>
      </c>
      <c r="D364">
        <v>6</v>
      </c>
      <c r="E364">
        <v>6</v>
      </c>
      <c r="F364">
        <v>999</v>
      </c>
      <c r="G364" t="s">
        <v>22</v>
      </c>
      <c r="J364">
        <v>24480512</v>
      </c>
      <c r="K364" t="s">
        <v>123</v>
      </c>
      <c r="L364">
        <v>891200513</v>
      </c>
      <c r="M364" t="s">
        <v>124</v>
      </c>
      <c r="N364">
        <v>1490400</v>
      </c>
      <c r="O364">
        <v>0</v>
      </c>
      <c r="P364">
        <v>7452</v>
      </c>
      <c r="Q364" t="s">
        <v>463</v>
      </c>
      <c r="R364" t="s">
        <v>240</v>
      </c>
      <c r="S364">
        <v>2025</v>
      </c>
      <c r="T364">
        <v>26636874</v>
      </c>
      <c r="U364" t="s">
        <v>127</v>
      </c>
    </row>
    <row r="365" spans="1:21" x14ac:dyDescent="0.25">
      <c r="A365" t="s">
        <v>21</v>
      </c>
      <c r="B365">
        <v>1002137</v>
      </c>
      <c r="C365" s="1">
        <v>45922</v>
      </c>
      <c r="D365">
        <v>1</v>
      </c>
      <c r="E365">
        <v>1</v>
      </c>
      <c r="F365">
        <v>999</v>
      </c>
      <c r="G365" t="s">
        <v>22</v>
      </c>
      <c r="J365">
        <v>24480502</v>
      </c>
      <c r="K365" t="s">
        <v>106</v>
      </c>
      <c r="L365">
        <v>800102891</v>
      </c>
      <c r="M365" t="s">
        <v>36</v>
      </c>
      <c r="N365">
        <v>772000</v>
      </c>
      <c r="O365">
        <v>0</v>
      </c>
      <c r="P365">
        <v>4632</v>
      </c>
      <c r="Q365" t="s">
        <v>668</v>
      </c>
      <c r="R365" t="s">
        <v>38</v>
      </c>
      <c r="S365">
        <v>2025</v>
      </c>
      <c r="T365">
        <v>18127030</v>
      </c>
      <c r="U365" t="s">
        <v>669</v>
      </c>
    </row>
    <row r="366" spans="1:21" x14ac:dyDescent="0.25">
      <c r="A366" t="s">
        <v>21</v>
      </c>
      <c r="B366">
        <v>1002176</v>
      </c>
      <c r="C366" s="1">
        <v>45929</v>
      </c>
      <c r="D366">
        <v>1</v>
      </c>
      <c r="E366">
        <v>1</v>
      </c>
      <c r="F366">
        <v>999</v>
      </c>
      <c r="G366" t="s">
        <v>22</v>
      </c>
      <c r="J366">
        <v>24480501</v>
      </c>
      <c r="K366" t="s">
        <v>35</v>
      </c>
      <c r="L366">
        <v>800102891</v>
      </c>
      <c r="M366" t="s">
        <v>36</v>
      </c>
      <c r="N366">
        <v>6594803</v>
      </c>
      <c r="O366">
        <v>0</v>
      </c>
      <c r="P366">
        <v>65948</v>
      </c>
      <c r="Q366" t="s">
        <v>69</v>
      </c>
      <c r="R366" t="s">
        <v>38</v>
      </c>
      <c r="S366">
        <v>2025</v>
      </c>
      <c r="T366">
        <v>18145427</v>
      </c>
      <c r="U366" t="s">
        <v>70</v>
      </c>
    </row>
    <row r="367" spans="1:21" x14ac:dyDescent="0.25">
      <c r="A367" t="s">
        <v>93</v>
      </c>
      <c r="B367">
        <v>1004019</v>
      </c>
      <c r="C367" s="1">
        <v>45929</v>
      </c>
      <c r="D367">
        <v>1</v>
      </c>
      <c r="E367">
        <v>1</v>
      </c>
      <c r="F367">
        <v>999</v>
      </c>
      <c r="G367" t="s">
        <v>22</v>
      </c>
      <c r="J367">
        <v>24480501</v>
      </c>
      <c r="K367" t="s">
        <v>35</v>
      </c>
      <c r="L367">
        <v>800102891</v>
      </c>
      <c r="M367" t="s">
        <v>36</v>
      </c>
      <c r="N367">
        <v>2142985</v>
      </c>
      <c r="O367">
        <v>0</v>
      </c>
      <c r="P367">
        <v>21430</v>
      </c>
      <c r="Q367" t="s">
        <v>204</v>
      </c>
      <c r="R367" t="s">
        <v>38</v>
      </c>
      <c r="S367">
        <v>2025</v>
      </c>
      <c r="T367">
        <v>18127828</v>
      </c>
      <c r="U367" t="s">
        <v>205</v>
      </c>
    </row>
    <row r="368" spans="1:21" x14ac:dyDescent="0.25">
      <c r="A368" t="s">
        <v>21</v>
      </c>
      <c r="B368">
        <v>7000156</v>
      </c>
      <c r="C368" s="1">
        <v>45930</v>
      </c>
      <c r="D368">
        <v>7</v>
      </c>
      <c r="E368">
        <v>7</v>
      </c>
      <c r="F368">
        <v>999</v>
      </c>
      <c r="G368" t="s">
        <v>22</v>
      </c>
      <c r="J368">
        <v>24480515</v>
      </c>
      <c r="K368" t="s">
        <v>52</v>
      </c>
      <c r="L368">
        <v>800252922</v>
      </c>
      <c r="M368" t="s">
        <v>53</v>
      </c>
      <c r="N368">
        <v>200000</v>
      </c>
      <c r="O368">
        <v>0</v>
      </c>
      <c r="P368">
        <v>1000</v>
      </c>
      <c r="Q368" t="s">
        <v>515</v>
      </c>
      <c r="R368" t="s">
        <v>64</v>
      </c>
      <c r="S368">
        <v>2025</v>
      </c>
      <c r="T368">
        <v>15572024</v>
      </c>
      <c r="U368" t="s">
        <v>187</v>
      </c>
    </row>
    <row r="369" spans="1:21" x14ac:dyDescent="0.25">
      <c r="A369" t="s">
        <v>21</v>
      </c>
      <c r="B369">
        <v>1002227</v>
      </c>
      <c r="C369" s="1">
        <v>45936</v>
      </c>
      <c r="D369">
        <v>1</v>
      </c>
      <c r="E369">
        <v>2</v>
      </c>
      <c r="F369">
        <v>999</v>
      </c>
      <c r="G369" t="s">
        <v>22</v>
      </c>
      <c r="J369">
        <v>24480518</v>
      </c>
      <c r="K369" t="s">
        <v>75</v>
      </c>
      <c r="L369">
        <v>891201645</v>
      </c>
      <c r="M369" t="s">
        <v>47</v>
      </c>
      <c r="N369">
        <v>270000</v>
      </c>
      <c r="O369">
        <v>0</v>
      </c>
      <c r="P369">
        <v>2700</v>
      </c>
      <c r="Q369" t="s">
        <v>108</v>
      </c>
      <c r="R369" t="s">
        <v>38</v>
      </c>
      <c r="S369">
        <v>2025</v>
      </c>
      <c r="T369">
        <v>900437268</v>
      </c>
      <c r="U369" t="s">
        <v>39</v>
      </c>
    </row>
    <row r="370" spans="1:21" x14ac:dyDescent="0.25">
      <c r="A370" t="s">
        <v>21</v>
      </c>
      <c r="B370">
        <v>1002232</v>
      </c>
      <c r="C370" s="1">
        <v>45936</v>
      </c>
      <c r="D370">
        <v>1</v>
      </c>
      <c r="E370">
        <v>8</v>
      </c>
      <c r="F370">
        <v>999</v>
      </c>
      <c r="G370" t="s">
        <v>22</v>
      </c>
      <c r="J370">
        <v>24480519</v>
      </c>
      <c r="K370" t="s">
        <v>32</v>
      </c>
      <c r="L370">
        <v>800054249</v>
      </c>
      <c r="M370" t="s">
        <v>33</v>
      </c>
      <c r="N370">
        <v>370000</v>
      </c>
      <c r="O370">
        <v>0</v>
      </c>
      <c r="P370">
        <v>1850</v>
      </c>
      <c r="Q370" t="s">
        <v>431</v>
      </c>
      <c r="R370" t="s">
        <v>38</v>
      </c>
      <c r="S370">
        <v>2025</v>
      </c>
      <c r="T370">
        <v>900579315</v>
      </c>
      <c r="U370" t="s">
        <v>44</v>
      </c>
    </row>
    <row r="371" spans="1:21" x14ac:dyDescent="0.25">
      <c r="A371" t="s">
        <v>21</v>
      </c>
      <c r="B371">
        <v>1002229</v>
      </c>
      <c r="C371" s="1">
        <v>45936</v>
      </c>
      <c r="D371">
        <v>1</v>
      </c>
      <c r="E371">
        <v>1</v>
      </c>
      <c r="F371">
        <v>999</v>
      </c>
      <c r="G371" t="s">
        <v>22</v>
      </c>
      <c r="J371">
        <v>24480501</v>
      </c>
      <c r="K371" t="s">
        <v>35</v>
      </c>
      <c r="L371">
        <v>800102891</v>
      </c>
      <c r="M371" t="s">
        <v>36</v>
      </c>
      <c r="N371">
        <v>480000</v>
      </c>
      <c r="O371">
        <v>0</v>
      </c>
      <c r="P371">
        <v>4800</v>
      </c>
      <c r="Q371" t="s">
        <v>634</v>
      </c>
      <c r="R371" t="s">
        <v>38</v>
      </c>
      <c r="S371">
        <v>2025</v>
      </c>
      <c r="T371">
        <v>900437268</v>
      </c>
      <c r="U371" t="s">
        <v>39</v>
      </c>
    </row>
    <row r="372" spans="1:21" x14ac:dyDescent="0.25">
      <c r="A372" t="s">
        <v>21</v>
      </c>
      <c r="B372">
        <v>1002237</v>
      </c>
      <c r="C372" s="1">
        <v>45937</v>
      </c>
      <c r="D372">
        <v>1</v>
      </c>
      <c r="E372">
        <v>7</v>
      </c>
      <c r="F372">
        <v>999</v>
      </c>
      <c r="G372" t="s">
        <v>22</v>
      </c>
      <c r="J372">
        <v>24480515</v>
      </c>
      <c r="K372" t="s">
        <v>52</v>
      </c>
      <c r="L372">
        <v>800252922</v>
      </c>
      <c r="M372" t="s">
        <v>53</v>
      </c>
      <c r="N372">
        <v>400000</v>
      </c>
      <c r="O372">
        <v>0</v>
      </c>
      <c r="P372">
        <v>3200</v>
      </c>
      <c r="Q372" t="s">
        <v>275</v>
      </c>
      <c r="R372" t="s">
        <v>38</v>
      </c>
      <c r="S372">
        <v>2025</v>
      </c>
      <c r="T372">
        <v>900620983</v>
      </c>
      <c r="U372" t="s">
        <v>68</v>
      </c>
    </row>
    <row r="373" spans="1:21" x14ac:dyDescent="0.25">
      <c r="A373" t="s">
        <v>21</v>
      </c>
      <c r="B373">
        <v>1002241</v>
      </c>
      <c r="C373" s="1">
        <v>45937</v>
      </c>
      <c r="D373">
        <v>1</v>
      </c>
      <c r="E373">
        <v>4</v>
      </c>
      <c r="F373">
        <v>999</v>
      </c>
      <c r="G373" t="s">
        <v>22</v>
      </c>
      <c r="J373">
        <v>24480510</v>
      </c>
      <c r="K373" t="s">
        <v>66</v>
      </c>
      <c r="L373">
        <v>800102912</v>
      </c>
      <c r="M373" t="s">
        <v>57</v>
      </c>
      <c r="N373">
        <v>470588</v>
      </c>
      <c r="O373">
        <v>0</v>
      </c>
      <c r="P373">
        <v>3294</v>
      </c>
      <c r="Q373" t="s">
        <v>527</v>
      </c>
      <c r="R373" t="s">
        <v>38</v>
      </c>
      <c r="S373">
        <v>2025</v>
      </c>
      <c r="T373">
        <v>900620983</v>
      </c>
      <c r="U373" t="s">
        <v>68</v>
      </c>
    </row>
    <row r="374" spans="1:21" x14ac:dyDescent="0.25">
      <c r="A374" t="s">
        <v>21</v>
      </c>
      <c r="B374">
        <v>1002240</v>
      </c>
      <c r="C374" s="1">
        <v>45937</v>
      </c>
      <c r="D374">
        <v>1</v>
      </c>
      <c r="E374">
        <v>4</v>
      </c>
      <c r="F374">
        <v>999</v>
      </c>
      <c r="G374" t="s">
        <v>22</v>
      </c>
      <c r="J374">
        <v>24480510</v>
      </c>
      <c r="K374" t="s">
        <v>66</v>
      </c>
      <c r="L374">
        <v>800102912</v>
      </c>
      <c r="M374" t="s">
        <v>57</v>
      </c>
      <c r="N374">
        <v>501050</v>
      </c>
      <c r="O374">
        <v>0</v>
      </c>
      <c r="P374">
        <v>3507</v>
      </c>
      <c r="Q374" t="s">
        <v>601</v>
      </c>
      <c r="R374" t="s">
        <v>38</v>
      </c>
      <c r="S374">
        <v>2025</v>
      </c>
      <c r="T374">
        <v>900620983</v>
      </c>
      <c r="U374" t="s">
        <v>68</v>
      </c>
    </row>
    <row r="375" spans="1:21" x14ac:dyDescent="0.25">
      <c r="A375" t="s">
        <v>21</v>
      </c>
      <c r="B375">
        <v>1002298</v>
      </c>
      <c r="C375" s="1">
        <v>45939</v>
      </c>
      <c r="D375">
        <v>1</v>
      </c>
      <c r="E375">
        <v>8</v>
      </c>
      <c r="F375">
        <v>999</v>
      </c>
      <c r="G375" t="s">
        <v>22</v>
      </c>
      <c r="J375">
        <v>24480519</v>
      </c>
      <c r="K375" t="s">
        <v>32</v>
      </c>
      <c r="L375">
        <v>800054249</v>
      </c>
      <c r="M375" t="s">
        <v>33</v>
      </c>
      <c r="N375">
        <v>0</v>
      </c>
      <c r="O375">
        <v>64747</v>
      </c>
      <c r="P375">
        <v>0</v>
      </c>
      <c r="Q375" t="s">
        <v>130</v>
      </c>
      <c r="R375" t="s">
        <v>38</v>
      </c>
      <c r="S375">
        <v>2025</v>
      </c>
      <c r="T375">
        <v>800054249</v>
      </c>
      <c r="U375" t="s">
        <v>33</v>
      </c>
    </row>
    <row r="376" spans="1:21" x14ac:dyDescent="0.25">
      <c r="A376" t="s">
        <v>21</v>
      </c>
      <c r="B376">
        <v>1002292</v>
      </c>
      <c r="C376" s="1">
        <v>45939</v>
      </c>
      <c r="D376">
        <v>1</v>
      </c>
      <c r="E376">
        <v>1</v>
      </c>
      <c r="F376">
        <v>999</v>
      </c>
      <c r="G376" t="s">
        <v>22</v>
      </c>
      <c r="J376">
        <v>24480501</v>
      </c>
      <c r="K376" t="s">
        <v>35</v>
      </c>
      <c r="L376">
        <v>800102891</v>
      </c>
      <c r="M376" t="s">
        <v>36</v>
      </c>
      <c r="N376">
        <v>0</v>
      </c>
      <c r="O376">
        <v>92178</v>
      </c>
      <c r="P376">
        <v>0</v>
      </c>
      <c r="Q376" t="s">
        <v>148</v>
      </c>
      <c r="R376" t="s">
        <v>38</v>
      </c>
      <c r="S376">
        <v>2025</v>
      </c>
      <c r="T376">
        <v>800102891</v>
      </c>
      <c r="U376" t="s">
        <v>36</v>
      </c>
    </row>
    <row r="377" spans="1:21" x14ac:dyDescent="0.25">
      <c r="A377" t="s">
        <v>21</v>
      </c>
      <c r="B377">
        <v>1002295</v>
      </c>
      <c r="C377" s="1">
        <v>45939</v>
      </c>
      <c r="D377">
        <v>1</v>
      </c>
      <c r="E377">
        <v>4</v>
      </c>
      <c r="F377">
        <v>999</v>
      </c>
      <c r="G377" t="s">
        <v>22</v>
      </c>
      <c r="J377">
        <v>24480510</v>
      </c>
      <c r="K377" t="s">
        <v>66</v>
      </c>
      <c r="L377">
        <v>800102912</v>
      </c>
      <c r="M377" t="s">
        <v>57</v>
      </c>
      <c r="N377">
        <v>0</v>
      </c>
      <c r="O377">
        <v>12321</v>
      </c>
      <c r="P377">
        <v>0</v>
      </c>
      <c r="Q377" t="s">
        <v>149</v>
      </c>
      <c r="R377" t="s">
        <v>38</v>
      </c>
      <c r="S377">
        <v>2025</v>
      </c>
      <c r="T377">
        <v>800102912</v>
      </c>
      <c r="U377" t="s">
        <v>57</v>
      </c>
    </row>
    <row r="378" spans="1:21" x14ac:dyDescent="0.25">
      <c r="A378" t="s">
        <v>21</v>
      </c>
      <c r="B378">
        <v>1002297</v>
      </c>
      <c r="C378" s="1">
        <v>45939</v>
      </c>
      <c r="D378">
        <v>1</v>
      </c>
      <c r="E378">
        <v>7</v>
      </c>
      <c r="F378">
        <v>999</v>
      </c>
      <c r="G378" t="s">
        <v>22</v>
      </c>
      <c r="J378">
        <v>24480515</v>
      </c>
      <c r="K378" t="s">
        <v>52</v>
      </c>
      <c r="L378">
        <v>800252922</v>
      </c>
      <c r="M378" t="s">
        <v>53</v>
      </c>
      <c r="N378">
        <v>0</v>
      </c>
      <c r="O378">
        <v>11240</v>
      </c>
      <c r="P378">
        <v>0</v>
      </c>
      <c r="Q378" t="s">
        <v>182</v>
      </c>
      <c r="R378" t="s">
        <v>38</v>
      </c>
      <c r="S378">
        <v>2025</v>
      </c>
      <c r="T378">
        <v>800252922</v>
      </c>
      <c r="U378" t="s">
        <v>53</v>
      </c>
    </row>
    <row r="379" spans="1:21" x14ac:dyDescent="0.25">
      <c r="A379" t="s">
        <v>21</v>
      </c>
      <c r="B379">
        <v>1002293</v>
      </c>
      <c r="C379" s="1">
        <v>45939</v>
      </c>
      <c r="D379">
        <v>1</v>
      </c>
      <c r="E379">
        <v>2</v>
      </c>
      <c r="F379">
        <v>999</v>
      </c>
      <c r="G379" t="s">
        <v>22</v>
      </c>
      <c r="J379">
        <v>24480518</v>
      </c>
      <c r="K379" t="s">
        <v>75</v>
      </c>
      <c r="L379">
        <v>891201645</v>
      </c>
      <c r="M379" t="s">
        <v>47</v>
      </c>
      <c r="N379">
        <v>0</v>
      </c>
      <c r="O379">
        <v>243700</v>
      </c>
      <c r="P379">
        <v>0</v>
      </c>
      <c r="Q379" t="s">
        <v>322</v>
      </c>
      <c r="R379" t="s">
        <v>38</v>
      </c>
      <c r="S379">
        <v>2025</v>
      </c>
      <c r="T379">
        <v>891201645</v>
      </c>
      <c r="U379" t="s">
        <v>47</v>
      </c>
    </row>
    <row r="380" spans="1:21" x14ac:dyDescent="0.25">
      <c r="A380" t="s">
        <v>21</v>
      </c>
      <c r="B380">
        <v>1002295</v>
      </c>
      <c r="C380" s="1">
        <v>45939</v>
      </c>
      <c r="D380">
        <v>1</v>
      </c>
      <c r="E380">
        <v>4</v>
      </c>
      <c r="F380">
        <v>999</v>
      </c>
      <c r="G380" t="s">
        <v>22</v>
      </c>
      <c r="J380">
        <v>24480509</v>
      </c>
      <c r="K380" t="s">
        <v>56</v>
      </c>
      <c r="L380">
        <v>800102912</v>
      </c>
      <c r="M380" t="s">
        <v>57</v>
      </c>
      <c r="N380">
        <v>0</v>
      </c>
      <c r="O380">
        <v>23629</v>
      </c>
      <c r="P380">
        <v>0</v>
      </c>
      <c r="Q380" t="s">
        <v>149</v>
      </c>
      <c r="R380" t="s">
        <v>38</v>
      </c>
      <c r="S380">
        <v>2025</v>
      </c>
      <c r="T380">
        <v>800102912</v>
      </c>
      <c r="U380" t="s">
        <v>57</v>
      </c>
    </row>
    <row r="381" spans="1:21" x14ac:dyDescent="0.25">
      <c r="A381" t="s">
        <v>21</v>
      </c>
      <c r="B381">
        <v>1002297</v>
      </c>
      <c r="C381" s="1">
        <v>45939</v>
      </c>
      <c r="D381">
        <v>1</v>
      </c>
      <c r="E381">
        <v>7</v>
      </c>
      <c r="F381">
        <v>999</v>
      </c>
      <c r="G381" t="s">
        <v>22</v>
      </c>
      <c r="J381">
        <v>24480516</v>
      </c>
      <c r="K381" t="s">
        <v>79</v>
      </c>
      <c r="L381">
        <v>800252922</v>
      </c>
      <c r="M381" t="s">
        <v>53</v>
      </c>
      <c r="N381">
        <v>0</v>
      </c>
      <c r="O381">
        <v>2980</v>
      </c>
      <c r="P381">
        <v>0</v>
      </c>
      <c r="Q381" t="s">
        <v>182</v>
      </c>
      <c r="R381" t="s">
        <v>38</v>
      </c>
      <c r="S381">
        <v>2025</v>
      </c>
      <c r="T381">
        <v>800252922</v>
      </c>
      <c r="U381" t="s">
        <v>53</v>
      </c>
    </row>
    <row r="382" spans="1:21" x14ac:dyDescent="0.25">
      <c r="A382" t="s">
        <v>21</v>
      </c>
      <c r="B382">
        <v>1002294</v>
      </c>
      <c r="C382" s="1">
        <v>45939</v>
      </c>
      <c r="D382">
        <v>1</v>
      </c>
      <c r="E382">
        <v>3</v>
      </c>
      <c r="F382">
        <v>999</v>
      </c>
      <c r="G382" t="s">
        <v>22</v>
      </c>
      <c r="J382">
        <v>24480505</v>
      </c>
      <c r="K382" t="s">
        <v>82</v>
      </c>
      <c r="L382">
        <v>891200461</v>
      </c>
      <c r="M382" t="s">
        <v>29</v>
      </c>
      <c r="N382">
        <v>0</v>
      </c>
      <c r="O382">
        <v>5279</v>
      </c>
      <c r="P382">
        <v>0</v>
      </c>
      <c r="Q382" t="s">
        <v>344</v>
      </c>
      <c r="R382" t="s">
        <v>38</v>
      </c>
      <c r="S382">
        <v>2025</v>
      </c>
      <c r="T382">
        <v>891200461</v>
      </c>
      <c r="U382" t="s">
        <v>29</v>
      </c>
    </row>
    <row r="383" spans="1:21" x14ac:dyDescent="0.25">
      <c r="A383" t="s">
        <v>21</v>
      </c>
      <c r="B383">
        <v>1002292</v>
      </c>
      <c r="C383" s="1">
        <v>45939</v>
      </c>
      <c r="D383">
        <v>1</v>
      </c>
      <c r="E383">
        <v>1</v>
      </c>
      <c r="F383">
        <v>999</v>
      </c>
      <c r="G383" t="s">
        <v>22</v>
      </c>
      <c r="J383">
        <v>24480502</v>
      </c>
      <c r="K383" t="s">
        <v>106</v>
      </c>
      <c r="L383">
        <v>800102891</v>
      </c>
      <c r="M383" t="s">
        <v>36</v>
      </c>
      <c r="N383">
        <v>0</v>
      </c>
      <c r="O383">
        <v>13395</v>
      </c>
      <c r="P383">
        <v>0</v>
      </c>
      <c r="Q383" t="s">
        <v>148</v>
      </c>
      <c r="R383" t="s">
        <v>38</v>
      </c>
      <c r="S383">
        <v>2025</v>
      </c>
      <c r="T383">
        <v>800102891</v>
      </c>
      <c r="U383" t="s">
        <v>36</v>
      </c>
    </row>
    <row r="384" spans="1:21" x14ac:dyDescent="0.25">
      <c r="A384" t="s">
        <v>21</v>
      </c>
      <c r="B384">
        <v>1002296</v>
      </c>
      <c r="C384" s="1">
        <v>45939</v>
      </c>
      <c r="D384">
        <v>1</v>
      </c>
      <c r="E384">
        <v>6</v>
      </c>
      <c r="F384">
        <v>999</v>
      </c>
      <c r="G384" t="s">
        <v>22</v>
      </c>
      <c r="J384">
        <v>24480512</v>
      </c>
      <c r="K384" t="s">
        <v>123</v>
      </c>
      <c r="L384">
        <v>891200513</v>
      </c>
      <c r="M384" t="s">
        <v>124</v>
      </c>
      <c r="N384">
        <v>0</v>
      </c>
      <c r="O384">
        <v>7452</v>
      </c>
      <c r="P384">
        <v>0</v>
      </c>
      <c r="Q384" t="s">
        <v>621</v>
      </c>
      <c r="R384" t="s">
        <v>38</v>
      </c>
      <c r="S384">
        <v>2025</v>
      </c>
      <c r="T384">
        <v>891200513</v>
      </c>
      <c r="U384" t="s">
        <v>124</v>
      </c>
    </row>
    <row r="385" spans="1:21" x14ac:dyDescent="0.25">
      <c r="A385" t="s">
        <v>93</v>
      </c>
      <c r="B385">
        <v>4002214</v>
      </c>
      <c r="C385" s="1">
        <v>45940</v>
      </c>
      <c r="D385">
        <v>4</v>
      </c>
      <c r="E385">
        <v>4</v>
      </c>
      <c r="F385">
        <v>999</v>
      </c>
      <c r="G385" t="s">
        <v>22</v>
      </c>
      <c r="J385">
        <v>24480510</v>
      </c>
      <c r="K385" t="s">
        <v>66</v>
      </c>
      <c r="L385">
        <v>800102912</v>
      </c>
      <c r="M385" t="s">
        <v>57</v>
      </c>
      <c r="N385">
        <v>350000</v>
      </c>
      <c r="O385">
        <v>0</v>
      </c>
      <c r="P385">
        <v>2100</v>
      </c>
      <c r="Q385" t="s">
        <v>237</v>
      </c>
      <c r="R385" t="s">
        <v>59</v>
      </c>
      <c r="S385">
        <v>2025</v>
      </c>
      <c r="T385">
        <v>18153926</v>
      </c>
      <c r="U385" t="s">
        <v>104</v>
      </c>
    </row>
    <row r="386" spans="1:21" x14ac:dyDescent="0.25">
      <c r="A386" t="s">
        <v>21</v>
      </c>
      <c r="B386">
        <v>1002333</v>
      </c>
      <c r="C386" s="1">
        <v>45940</v>
      </c>
      <c r="D386">
        <v>1</v>
      </c>
      <c r="E386">
        <v>4</v>
      </c>
      <c r="F386">
        <v>999</v>
      </c>
      <c r="G386" t="s">
        <v>22</v>
      </c>
      <c r="J386">
        <v>24480510</v>
      </c>
      <c r="K386" t="s">
        <v>66</v>
      </c>
      <c r="L386">
        <v>800102912</v>
      </c>
      <c r="M386" t="s">
        <v>57</v>
      </c>
      <c r="N386">
        <v>380000</v>
      </c>
      <c r="O386">
        <v>0</v>
      </c>
      <c r="P386">
        <v>2660</v>
      </c>
      <c r="Q386" t="s">
        <v>280</v>
      </c>
      <c r="R386" t="s">
        <v>38</v>
      </c>
      <c r="S386">
        <v>2025</v>
      </c>
      <c r="T386">
        <v>900502634</v>
      </c>
      <c r="U386" t="s">
        <v>55</v>
      </c>
    </row>
    <row r="387" spans="1:21" x14ac:dyDescent="0.25">
      <c r="A387" t="s">
        <v>21</v>
      </c>
      <c r="B387">
        <v>1002331</v>
      </c>
      <c r="C387" s="1">
        <v>45940</v>
      </c>
      <c r="D387">
        <v>1</v>
      </c>
      <c r="E387">
        <v>7</v>
      </c>
      <c r="F387">
        <v>999</v>
      </c>
      <c r="G387" t="s">
        <v>22</v>
      </c>
      <c r="J387">
        <v>24480515</v>
      </c>
      <c r="K387" t="s">
        <v>52</v>
      </c>
      <c r="L387">
        <v>800252922</v>
      </c>
      <c r="M387" t="s">
        <v>53</v>
      </c>
      <c r="N387">
        <v>480000</v>
      </c>
      <c r="O387">
        <v>0</v>
      </c>
      <c r="P387">
        <v>3840</v>
      </c>
      <c r="Q387" t="s">
        <v>538</v>
      </c>
      <c r="R387" t="s">
        <v>38</v>
      </c>
      <c r="S387">
        <v>2025</v>
      </c>
      <c r="T387">
        <v>900502634</v>
      </c>
      <c r="U387" t="s">
        <v>55</v>
      </c>
    </row>
    <row r="388" spans="1:21" x14ac:dyDescent="0.25">
      <c r="A388" t="s">
        <v>21</v>
      </c>
      <c r="B388">
        <v>2000399</v>
      </c>
      <c r="C388" s="1">
        <v>45944</v>
      </c>
      <c r="D388">
        <v>2</v>
      </c>
      <c r="E388">
        <v>2</v>
      </c>
      <c r="F388">
        <v>999</v>
      </c>
      <c r="G388" t="s">
        <v>22</v>
      </c>
      <c r="J388">
        <v>24480518</v>
      </c>
      <c r="K388" t="s">
        <v>75</v>
      </c>
      <c r="L388">
        <v>891201645</v>
      </c>
      <c r="M388" t="s">
        <v>47</v>
      </c>
      <c r="N388">
        <v>300000</v>
      </c>
      <c r="O388">
        <v>0</v>
      </c>
      <c r="P388">
        <v>3000</v>
      </c>
      <c r="Q388" t="s">
        <v>297</v>
      </c>
      <c r="R388" t="s">
        <v>49</v>
      </c>
      <c r="S388">
        <v>2025</v>
      </c>
      <c r="T388">
        <v>846000229</v>
      </c>
      <c r="U388" t="s">
        <v>298</v>
      </c>
    </row>
    <row r="389" spans="1:21" x14ac:dyDescent="0.25">
      <c r="A389" t="s">
        <v>21</v>
      </c>
      <c r="B389">
        <v>6000310</v>
      </c>
      <c r="C389" s="1">
        <v>45944</v>
      </c>
      <c r="D389">
        <v>6</v>
      </c>
      <c r="E389">
        <v>6</v>
      </c>
      <c r="F389">
        <v>999</v>
      </c>
      <c r="G389" t="s">
        <v>22</v>
      </c>
      <c r="J389">
        <v>24480512</v>
      </c>
      <c r="K389" t="s">
        <v>123</v>
      </c>
      <c r="L389">
        <v>891200513</v>
      </c>
      <c r="M389" t="s">
        <v>124</v>
      </c>
      <c r="N389">
        <v>1420200</v>
      </c>
      <c r="O389">
        <v>0</v>
      </c>
      <c r="P389">
        <v>7101</v>
      </c>
      <c r="Q389" t="s">
        <v>395</v>
      </c>
      <c r="R389" t="s">
        <v>126</v>
      </c>
      <c r="S389">
        <v>2025</v>
      </c>
      <c r="T389">
        <v>26636874</v>
      </c>
      <c r="U389" t="s">
        <v>127</v>
      </c>
    </row>
    <row r="390" spans="1:21" x14ac:dyDescent="0.25">
      <c r="A390" t="s">
        <v>21</v>
      </c>
      <c r="B390">
        <v>1002350</v>
      </c>
      <c r="C390" s="1">
        <v>45944</v>
      </c>
      <c r="D390">
        <v>1</v>
      </c>
      <c r="E390">
        <v>1</v>
      </c>
      <c r="F390">
        <v>999</v>
      </c>
      <c r="G390" t="s">
        <v>22</v>
      </c>
      <c r="J390">
        <v>24480502</v>
      </c>
      <c r="K390" t="s">
        <v>106</v>
      </c>
      <c r="L390">
        <v>800102891</v>
      </c>
      <c r="M390" t="s">
        <v>36</v>
      </c>
      <c r="N390">
        <v>2800000</v>
      </c>
      <c r="O390">
        <v>0</v>
      </c>
      <c r="P390">
        <v>16800</v>
      </c>
      <c r="Q390" t="s">
        <v>655</v>
      </c>
      <c r="R390" t="s">
        <v>38</v>
      </c>
      <c r="S390">
        <v>2025</v>
      </c>
      <c r="T390">
        <v>1010081868</v>
      </c>
      <c r="U390" t="s">
        <v>110</v>
      </c>
    </row>
    <row r="391" spans="1:21" x14ac:dyDescent="0.25">
      <c r="A391" t="s">
        <v>21</v>
      </c>
      <c r="B391">
        <v>4000378</v>
      </c>
      <c r="C391" s="1">
        <v>45945</v>
      </c>
      <c r="D391">
        <v>4</v>
      </c>
      <c r="E391">
        <v>4</v>
      </c>
      <c r="F391">
        <v>999</v>
      </c>
      <c r="G391" t="s">
        <v>22</v>
      </c>
      <c r="J391">
        <v>24480510</v>
      </c>
      <c r="K391" t="s">
        <v>66</v>
      </c>
      <c r="L391">
        <v>800102912</v>
      </c>
      <c r="M391" t="s">
        <v>57</v>
      </c>
      <c r="N391">
        <v>210000</v>
      </c>
      <c r="O391">
        <v>0</v>
      </c>
      <c r="P391">
        <v>945</v>
      </c>
      <c r="Q391" t="s">
        <v>143</v>
      </c>
      <c r="R391" t="s">
        <v>59</v>
      </c>
      <c r="S391">
        <v>2025</v>
      </c>
      <c r="T391">
        <v>979514</v>
      </c>
      <c r="U391" t="s">
        <v>144</v>
      </c>
    </row>
    <row r="392" spans="1:21" x14ac:dyDescent="0.25">
      <c r="A392" t="s">
        <v>21</v>
      </c>
      <c r="B392">
        <v>2000404</v>
      </c>
      <c r="C392" s="1">
        <v>45946</v>
      </c>
      <c r="D392">
        <v>2</v>
      </c>
      <c r="E392">
        <v>2</v>
      </c>
      <c r="F392">
        <v>999</v>
      </c>
      <c r="G392" t="s">
        <v>22</v>
      </c>
      <c r="J392">
        <v>24480518</v>
      </c>
      <c r="K392" t="s">
        <v>75</v>
      </c>
      <c r="L392">
        <v>891201645</v>
      </c>
      <c r="M392" t="s">
        <v>47</v>
      </c>
      <c r="N392">
        <v>150000</v>
      </c>
      <c r="O392">
        <v>0</v>
      </c>
      <c r="P392">
        <v>1500</v>
      </c>
      <c r="Q392" t="s">
        <v>245</v>
      </c>
      <c r="R392" t="s">
        <v>49</v>
      </c>
      <c r="S392">
        <v>2025</v>
      </c>
      <c r="T392">
        <v>1122782361</v>
      </c>
      <c r="U392" t="s">
        <v>198</v>
      </c>
    </row>
    <row r="393" spans="1:21" x14ac:dyDescent="0.25">
      <c r="A393" t="s">
        <v>21</v>
      </c>
      <c r="B393">
        <v>1002378</v>
      </c>
      <c r="C393" s="1">
        <v>45951</v>
      </c>
      <c r="D393">
        <v>1</v>
      </c>
      <c r="E393">
        <v>8</v>
      </c>
      <c r="F393">
        <v>999</v>
      </c>
      <c r="G393" t="s">
        <v>22</v>
      </c>
      <c r="J393">
        <v>24480519</v>
      </c>
      <c r="K393" t="s">
        <v>32</v>
      </c>
      <c r="L393">
        <v>800054249</v>
      </c>
      <c r="M393" t="s">
        <v>33</v>
      </c>
      <c r="N393">
        <v>10839498</v>
      </c>
      <c r="O393">
        <v>0</v>
      </c>
      <c r="P393">
        <v>54197</v>
      </c>
      <c r="Q393" t="s">
        <v>558</v>
      </c>
      <c r="R393" t="s">
        <v>38</v>
      </c>
      <c r="S393">
        <v>2025</v>
      </c>
      <c r="T393">
        <v>900579315</v>
      </c>
      <c r="U393" t="s">
        <v>44</v>
      </c>
    </row>
    <row r="394" spans="1:21" x14ac:dyDescent="0.25">
      <c r="A394" t="s">
        <v>21</v>
      </c>
      <c r="B394">
        <v>2000413</v>
      </c>
      <c r="C394" s="1">
        <v>45952</v>
      </c>
      <c r="D394">
        <v>2</v>
      </c>
      <c r="E394">
        <v>2</v>
      </c>
      <c r="F394">
        <v>999</v>
      </c>
      <c r="G394" t="s">
        <v>22</v>
      </c>
      <c r="J394">
        <v>24480518</v>
      </c>
      <c r="K394" t="s">
        <v>75</v>
      </c>
      <c r="L394">
        <v>891201645</v>
      </c>
      <c r="M394" t="s">
        <v>47</v>
      </c>
      <c r="N394">
        <v>700000</v>
      </c>
      <c r="O394">
        <v>0</v>
      </c>
      <c r="P394">
        <v>7000</v>
      </c>
      <c r="Q394" t="s">
        <v>197</v>
      </c>
      <c r="R394" t="s">
        <v>49</v>
      </c>
      <c r="S394">
        <v>2025</v>
      </c>
      <c r="T394">
        <v>1122782361</v>
      </c>
      <c r="U394" t="s">
        <v>198</v>
      </c>
    </row>
    <row r="395" spans="1:21" x14ac:dyDescent="0.25">
      <c r="A395" t="s">
        <v>21</v>
      </c>
      <c r="B395">
        <v>1002388</v>
      </c>
      <c r="C395" s="1">
        <v>45952</v>
      </c>
      <c r="D395">
        <v>1</v>
      </c>
      <c r="E395">
        <v>1</v>
      </c>
      <c r="F395">
        <v>999</v>
      </c>
      <c r="G395" t="s">
        <v>22</v>
      </c>
      <c r="J395">
        <v>24480501</v>
      </c>
      <c r="K395" t="s">
        <v>35</v>
      </c>
      <c r="L395">
        <v>800102891</v>
      </c>
      <c r="M395" t="s">
        <v>36</v>
      </c>
      <c r="N395">
        <v>891920</v>
      </c>
      <c r="O395">
        <v>0</v>
      </c>
      <c r="P395">
        <v>8919</v>
      </c>
      <c r="Q395" t="s">
        <v>251</v>
      </c>
      <c r="R395" t="s">
        <v>38</v>
      </c>
      <c r="S395">
        <v>2025</v>
      </c>
      <c r="T395">
        <v>901358847</v>
      </c>
      <c r="U395" t="s">
        <v>252</v>
      </c>
    </row>
    <row r="396" spans="1:21" x14ac:dyDescent="0.25">
      <c r="A396" t="s">
        <v>21</v>
      </c>
      <c r="B396">
        <v>7000165</v>
      </c>
      <c r="C396" s="1">
        <v>45952</v>
      </c>
      <c r="D396">
        <v>7</v>
      </c>
      <c r="E396">
        <v>7</v>
      </c>
      <c r="F396">
        <v>999</v>
      </c>
      <c r="G396" t="s">
        <v>22</v>
      </c>
      <c r="J396">
        <v>24480515</v>
      </c>
      <c r="K396" t="s">
        <v>52</v>
      </c>
      <c r="L396">
        <v>800252922</v>
      </c>
      <c r="M396" t="s">
        <v>53</v>
      </c>
      <c r="N396">
        <v>200000</v>
      </c>
      <c r="O396">
        <v>0</v>
      </c>
      <c r="P396">
        <v>1000</v>
      </c>
      <c r="Q396" t="s">
        <v>427</v>
      </c>
      <c r="R396" t="s">
        <v>64</v>
      </c>
      <c r="S396">
        <v>2025</v>
      </c>
      <c r="T396">
        <v>15572024</v>
      </c>
      <c r="U396" t="s">
        <v>187</v>
      </c>
    </row>
    <row r="397" spans="1:21" x14ac:dyDescent="0.25">
      <c r="A397" t="s">
        <v>21</v>
      </c>
      <c r="B397">
        <v>1002388</v>
      </c>
      <c r="C397" s="1">
        <v>45952</v>
      </c>
      <c r="D397">
        <v>1</v>
      </c>
      <c r="E397">
        <v>1</v>
      </c>
      <c r="F397">
        <v>999</v>
      </c>
      <c r="G397" t="s">
        <v>22</v>
      </c>
      <c r="J397">
        <v>24480501</v>
      </c>
      <c r="K397" t="s">
        <v>35</v>
      </c>
      <c r="L397">
        <v>800102891</v>
      </c>
      <c r="M397" t="s">
        <v>36</v>
      </c>
      <c r="N397">
        <v>800000</v>
      </c>
      <c r="O397">
        <v>0</v>
      </c>
      <c r="P397">
        <v>8000</v>
      </c>
      <c r="Q397" t="s">
        <v>251</v>
      </c>
      <c r="R397" t="s">
        <v>38</v>
      </c>
      <c r="S397">
        <v>2025</v>
      </c>
      <c r="T397">
        <v>1124849956</v>
      </c>
      <c r="U397" t="s">
        <v>555</v>
      </c>
    </row>
    <row r="398" spans="1:21" x14ac:dyDescent="0.25">
      <c r="A398" t="s">
        <v>21</v>
      </c>
      <c r="B398">
        <v>1002385</v>
      </c>
      <c r="C398" s="1">
        <v>45952</v>
      </c>
      <c r="D398">
        <v>1</v>
      </c>
      <c r="E398">
        <v>7</v>
      </c>
      <c r="F398">
        <v>999</v>
      </c>
      <c r="G398" t="s">
        <v>22</v>
      </c>
      <c r="J398">
        <v>24480515</v>
      </c>
      <c r="K398" t="s">
        <v>52</v>
      </c>
      <c r="L398">
        <v>800252922</v>
      </c>
      <c r="M398" t="s">
        <v>53</v>
      </c>
      <c r="N398">
        <v>1044000</v>
      </c>
      <c r="O398">
        <v>0</v>
      </c>
      <c r="P398">
        <v>8352</v>
      </c>
      <c r="Q398" t="s">
        <v>653</v>
      </c>
      <c r="R398" t="s">
        <v>38</v>
      </c>
      <c r="S398">
        <v>2025</v>
      </c>
      <c r="T398">
        <v>901372032</v>
      </c>
      <c r="U398" t="s">
        <v>654</v>
      </c>
    </row>
    <row r="399" spans="1:21" x14ac:dyDescent="0.25">
      <c r="A399" t="s">
        <v>21</v>
      </c>
      <c r="B399">
        <v>1002399</v>
      </c>
      <c r="C399" s="1">
        <v>45953</v>
      </c>
      <c r="D399">
        <v>1</v>
      </c>
      <c r="E399">
        <v>3</v>
      </c>
      <c r="F399">
        <v>999</v>
      </c>
      <c r="G399" t="s">
        <v>22</v>
      </c>
      <c r="J399">
        <v>24480506</v>
      </c>
      <c r="K399" t="s">
        <v>28</v>
      </c>
      <c r="L399">
        <v>891200461</v>
      </c>
      <c r="M399" t="s">
        <v>29</v>
      </c>
      <c r="N399">
        <v>700000</v>
      </c>
      <c r="O399">
        <v>0</v>
      </c>
      <c r="P399">
        <v>7000</v>
      </c>
      <c r="Q399" t="s">
        <v>71</v>
      </c>
      <c r="R399" t="s">
        <v>38</v>
      </c>
      <c r="S399">
        <v>2025</v>
      </c>
      <c r="T399">
        <v>79278081</v>
      </c>
      <c r="U399" t="s">
        <v>72</v>
      </c>
    </row>
    <row r="400" spans="1:21" x14ac:dyDescent="0.25">
      <c r="A400" t="s">
        <v>21</v>
      </c>
      <c r="B400">
        <v>1002399</v>
      </c>
      <c r="C400" s="1">
        <v>45953</v>
      </c>
      <c r="D400">
        <v>1</v>
      </c>
      <c r="E400">
        <v>5</v>
      </c>
      <c r="F400">
        <v>999</v>
      </c>
      <c r="G400" t="s">
        <v>22</v>
      </c>
      <c r="J400">
        <v>24480508</v>
      </c>
      <c r="K400" t="s">
        <v>23</v>
      </c>
      <c r="L400">
        <v>800102896</v>
      </c>
      <c r="M400" t="s">
        <v>24</v>
      </c>
      <c r="N400">
        <v>700000</v>
      </c>
      <c r="O400">
        <v>0</v>
      </c>
      <c r="P400">
        <v>7000</v>
      </c>
      <c r="Q400" t="s">
        <v>71</v>
      </c>
      <c r="R400" t="s">
        <v>38</v>
      </c>
      <c r="S400">
        <v>2025</v>
      </c>
      <c r="T400">
        <v>79278081</v>
      </c>
      <c r="U400" t="s">
        <v>72</v>
      </c>
    </row>
    <row r="401" spans="1:21" x14ac:dyDescent="0.25">
      <c r="A401" t="s">
        <v>21</v>
      </c>
      <c r="B401">
        <v>1002399</v>
      </c>
      <c r="C401" s="1">
        <v>45953</v>
      </c>
      <c r="D401">
        <v>1</v>
      </c>
      <c r="E401">
        <v>1</v>
      </c>
      <c r="F401">
        <v>999</v>
      </c>
      <c r="G401" t="s">
        <v>22</v>
      </c>
      <c r="J401">
        <v>24480501</v>
      </c>
      <c r="K401" t="s">
        <v>35</v>
      </c>
      <c r="L401">
        <v>800102891</v>
      </c>
      <c r="M401" t="s">
        <v>36</v>
      </c>
      <c r="N401">
        <v>700000</v>
      </c>
      <c r="O401">
        <v>0</v>
      </c>
      <c r="P401">
        <v>7000</v>
      </c>
      <c r="Q401" t="s">
        <v>71</v>
      </c>
      <c r="R401" t="s">
        <v>38</v>
      </c>
      <c r="S401">
        <v>2025</v>
      </c>
      <c r="T401">
        <v>79278081</v>
      </c>
      <c r="U401" t="s">
        <v>72</v>
      </c>
    </row>
    <row r="402" spans="1:21" x14ac:dyDescent="0.25">
      <c r="A402" t="s">
        <v>21</v>
      </c>
      <c r="B402">
        <v>2000416</v>
      </c>
      <c r="C402" s="1">
        <v>45953</v>
      </c>
      <c r="D402">
        <v>2</v>
      </c>
      <c r="E402">
        <v>2</v>
      </c>
      <c r="F402">
        <v>999</v>
      </c>
      <c r="G402" t="s">
        <v>22</v>
      </c>
      <c r="J402">
        <v>24480518</v>
      </c>
      <c r="K402" t="s">
        <v>75</v>
      </c>
      <c r="L402">
        <v>891201645</v>
      </c>
      <c r="M402" t="s">
        <v>47</v>
      </c>
      <c r="N402">
        <v>2450000</v>
      </c>
      <c r="O402">
        <v>0</v>
      </c>
      <c r="P402">
        <v>24500</v>
      </c>
      <c r="Q402" t="s">
        <v>455</v>
      </c>
      <c r="R402" t="s">
        <v>49</v>
      </c>
      <c r="S402">
        <v>2025</v>
      </c>
      <c r="T402">
        <v>1122782339</v>
      </c>
      <c r="U402" t="s">
        <v>416</v>
      </c>
    </row>
    <row r="403" spans="1:21" x14ac:dyDescent="0.25">
      <c r="A403" t="s">
        <v>21</v>
      </c>
      <c r="B403">
        <v>5000099</v>
      </c>
      <c r="C403" s="1">
        <v>45953</v>
      </c>
      <c r="D403">
        <v>5</v>
      </c>
      <c r="E403">
        <v>5</v>
      </c>
      <c r="F403">
        <v>999</v>
      </c>
      <c r="G403" t="s">
        <v>22</v>
      </c>
      <c r="J403">
        <v>24480508</v>
      </c>
      <c r="K403" t="s">
        <v>23</v>
      </c>
      <c r="L403">
        <v>800102896</v>
      </c>
      <c r="M403" t="s">
        <v>24</v>
      </c>
      <c r="N403">
        <v>1000000</v>
      </c>
      <c r="O403">
        <v>0</v>
      </c>
      <c r="P403">
        <v>10000</v>
      </c>
      <c r="Q403" t="s">
        <v>461</v>
      </c>
      <c r="R403" t="s">
        <v>320</v>
      </c>
      <c r="S403">
        <v>2025</v>
      </c>
      <c r="T403">
        <v>66866584</v>
      </c>
      <c r="U403" t="s">
        <v>321</v>
      </c>
    </row>
    <row r="404" spans="1:21" x14ac:dyDescent="0.25">
      <c r="A404" t="s">
        <v>21</v>
      </c>
      <c r="B404">
        <v>6000323</v>
      </c>
      <c r="C404" s="1">
        <v>45957</v>
      </c>
      <c r="D404">
        <v>6</v>
      </c>
      <c r="E404">
        <v>6</v>
      </c>
      <c r="F404">
        <v>999</v>
      </c>
      <c r="G404" t="s">
        <v>22</v>
      </c>
      <c r="J404">
        <v>24480512</v>
      </c>
      <c r="K404" t="s">
        <v>123</v>
      </c>
      <c r="L404">
        <v>891200513</v>
      </c>
      <c r="M404" t="s">
        <v>124</v>
      </c>
      <c r="N404">
        <v>1420200</v>
      </c>
      <c r="O404">
        <v>0</v>
      </c>
      <c r="P404">
        <v>7101</v>
      </c>
      <c r="Q404" t="s">
        <v>417</v>
      </c>
      <c r="R404" t="s">
        <v>126</v>
      </c>
      <c r="S404">
        <v>2025</v>
      </c>
      <c r="T404">
        <v>26636874</v>
      </c>
      <c r="U404" t="s">
        <v>127</v>
      </c>
    </row>
    <row r="405" spans="1:21" x14ac:dyDescent="0.25">
      <c r="A405" t="s">
        <v>21</v>
      </c>
      <c r="B405">
        <v>7000169</v>
      </c>
      <c r="C405" s="1">
        <v>45958</v>
      </c>
      <c r="D405">
        <v>7</v>
      </c>
      <c r="E405">
        <v>7</v>
      </c>
      <c r="F405">
        <v>999</v>
      </c>
      <c r="G405" t="s">
        <v>22</v>
      </c>
      <c r="J405">
        <v>24480515</v>
      </c>
      <c r="K405" t="s">
        <v>52</v>
      </c>
      <c r="L405">
        <v>800252922</v>
      </c>
      <c r="M405" t="s">
        <v>53</v>
      </c>
      <c r="N405">
        <v>100000</v>
      </c>
      <c r="O405">
        <v>0</v>
      </c>
      <c r="P405">
        <v>500</v>
      </c>
      <c r="Q405" t="s">
        <v>90</v>
      </c>
      <c r="R405" t="s">
        <v>64</v>
      </c>
      <c r="S405">
        <v>2025</v>
      </c>
      <c r="T405">
        <v>1004677850</v>
      </c>
      <c r="U405" t="s">
        <v>91</v>
      </c>
    </row>
    <row r="406" spans="1:21" x14ac:dyDescent="0.25">
      <c r="A406" t="s">
        <v>21</v>
      </c>
      <c r="B406">
        <v>1002426</v>
      </c>
      <c r="C406" s="1">
        <v>45958</v>
      </c>
      <c r="D406">
        <v>1</v>
      </c>
      <c r="E406">
        <v>1</v>
      </c>
      <c r="F406">
        <v>999</v>
      </c>
      <c r="G406" t="s">
        <v>22</v>
      </c>
      <c r="J406">
        <v>24480501</v>
      </c>
      <c r="K406" t="s">
        <v>35</v>
      </c>
      <c r="L406">
        <v>800102891</v>
      </c>
      <c r="M406" t="s">
        <v>36</v>
      </c>
      <c r="N406">
        <v>6594803</v>
      </c>
      <c r="O406">
        <v>0</v>
      </c>
      <c r="P406">
        <v>65948</v>
      </c>
      <c r="Q406" t="s">
        <v>196</v>
      </c>
      <c r="R406" t="s">
        <v>38</v>
      </c>
      <c r="S406">
        <v>2025</v>
      </c>
      <c r="T406">
        <v>18145427</v>
      </c>
      <c r="U406" t="s">
        <v>70</v>
      </c>
    </row>
    <row r="407" spans="1:21" x14ac:dyDescent="0.25">
      <c r="A407" t="s">
        <v>21</v>
      </c>
      <c r="B407">
        <v>7000169</v>
      </c>
      <c r="C407" s="1">
        <v>45958</v>
      </c>
      <c r="D407">
        <v>7</v>
      </c>
      <c r="E407">
        <v>7</v>
      </c>
      <c r="F407">
        <v>999</v>
      </c>
      <c r="G407" t="s">
        <v>22</v>
      </c>
      <c r="J407">
        <v>24480515</v>
      </c>
      <c r="K407" t="s">
        <v>52</v>
      </c>
      <c r="L407">
        <v>800252922</v>
      </c>
      <c r="M407" t="s">
        <v>53</v>
      </c>
      <c r="N407">
        <v>100000</v>
      </c>
      <c r="O407">
        <v>0</v>
      </c>
      <c r="P407">
        <v>500</v>
      </c>
      <c r="Q407" t="s">
        <v>90</v>
      </c>
      <c r="R407" t="s">
        <v>64</v>
      </c>
      <c r="S407">
        <v>2025</v>
      </c>
      <c r="T407">
        <v>18162933</v>
      </c>
      <c r="U407" t="s">
        <v>242</v>
      </c>
    </row>
    <row r="408" spans="1:21" x14ac:dyDescent="0.25">
      <c r="A408" t="s">
        <v>21</v>
      </c>
      <c r="B408">
        <v>7000169</v>
      </c>
      <c r="C408" s="1">
        <v>45958</v>
      </c>
      <c r="D408">
        <v>7</v>
      </c>
      <c r="E408">
        <v>7</v>
      </c>
      <c r="F408">
        <v>999</v>
      </c>
      <c r="G408" t="s">
        <v>22</v>
      </c>
      <c r="J408">
        <v>24480515</v>
      </c>
      <c r="K408" t="s">
        <v>52</v>
      </c>
      <c r="L408">
        <v>800252922</v>
      </c>
      <c r="M408" t="s">
        <v>53</v>
      </c>
      <c r="N408">
        <v>165000</v>
      </c>
      <c r="O408">
        <v>0</v>
      </c>
      <c r="P408">
        <v>825</v>
      </c>
      <c r="Q408" t="s">
        <v>90</v>
      </c>
      <c r="R408" t="s">
        <v>64</v>
      </c>
      <c r="S408">
        <v>2025</v>
      </c>
      <c r="T408">
        <v>1126453614</v>
      </c>
      <c r="U408" t="s">
        <v>401</v>
      </c>
    </row>
    <row r="409" spans="1:21" x14ac:dyDescent="0.25">
      <c r="A409" t="s">
        <v>21</v>
      </c>
      <c r="B409">
        <v>7000169</v>
      </c>
      <c r="C409" s="1">
        <v>45958</v>
      </c>
      <c r="D409">
        <v>7</v>
      </c>
      <c r="E409">
        <v>7</v>
      </c>
      <c r="F409">
        <v>999</v>
      </c>
      <c r="G409" t="s">
        <v>22</v>
      </c>
      <c r="J409">
        <v>24480515</v>
      </c>
      <c r="K409" t="s">
        <v>52</v>
      </c>
      <c r="L409">
        <v>800252922</v>
      </c>
      <c r="M409" t="s">
        <v>53</v>
      </c>
      <c r="N409">
        <v>206000</v>
      </c>
      <c r="O409">
        <v>0</v>
      </c>
      <c r="P409">
        <v>1236</v>
      </c>
      <c r="Q409" t="s">
        <v>90</v>
      </c>
      <c r="R409" t="s">
        <v>64</v>
      </c>
      <c r="S409">
        <v>2025</v>
      </c>
      <c r="T409">
        <v>79842226</v>
      </c>
      <c r="U409" t="s">
        <v>134</v>
      </c>
    </row>
    <row r="410" spans="1:21" x14ac:dyDescent="0.25">
      <c r="A410" t="s">
        <v>21</v>
      </c>
      <c r="B410">
        <v>1002428</v>
      </c>
      <c r="C410" s="1">
        <v>45958</v>
      </c>
      <c r="D410">
        <v>1</v>
      </c>
      <c r="E410">
        <v>4</v>
      </c>
      <c r="F410">
        <v>999</v>
      </c>
      <c r="G410" t="s">
        <v>22</v>
      </c>
      <c r="J410">
        <v>24480509</v>
      </c>
      <c r="K410" t="s">
        <v>56</v>
      </c>
      <c r="L410">
        <v>800102912</v>
      </c>
      <c r="M410" t="s">
        <v>57</v>
      </c>
      <c r="N410">
        <v>40351000</v>
      </c>
      <c r="O410">
        <v>0</v>
      </c>
      <c r="P410">
        <v>282457</v>
      </c>
      <c r="Q410" t="s">
        <v>486</v>
      </c>
      <c r="R410" t="s">
        <v>38</v>
      </c>
      <c r="S410">
        <v>2025</v>
      </c>
      <c r="T410">
        <v>12997019</v>
      </c>
      <c r="U410" t="s">
        <v>175</v>
      </c>
    </row>
    <row r="411" spans="1:21" x14ac:dyDescent="0.25">
      <c r="A411" t="s">
        <v>93</v>
      </c>
      <c r="B411">
        <v>1004416</v>
      </c>
      <c r="C411" s="1">
        <v>45958</v>
      </c>
      <c r="D411">
        <v>1</v>
      </c>
      <c r="E411">
        <v>7</v>
      </c>
      <c r="F411">
        <v>999</v>
      </c>
      <c r="G411" t="s">
        <v>22</v>
      </c>
      <c r="J411">
        <v>24480515</v>
      </c>
      <c r="K411" t="s">
        <v>52</v>
      </c>
      <c r="L411">
        <v>800252922</v>
      </c>
      <c r="M411" t="s">
        <v>53</v>
      </c>
      <c r="N411">
        <v>3600000</v>
      </c>
      <c r="O411">
        <v>0</v>
      </c>
      <c r="P411">
        <v>28800</v>
      </c>
      <c r="Q411" t="s">
        <v>522</v>
      </c>
      <c r="R411" t="s">
        <v>38</v>
      </c>
      <c r="S411">
        <v>2025</v>
      </c>
      <c r="T411">
        <v>93400947</v>
      </c>
      <c r="U411" t="s">
        <v>230</v>
      </c>
    </row>
    <row r="412" spans="1:21" x14ac:dyDescent="0.25">
      <c r="A412" t="s">
        <v>21</v>
      </c>
      <c r="B412">
        <v>1002428</v>
      </c>
      <c r="C412" s="1">
        <v>45958</v>
      </c>
      <c r="D412">
        <v>1</v>
      </c>
      <c r="E412">
        <v>4</v>
      </c>
      <c r="F412">
        <v>999</v>
      </c>
      <c r="G412" t="s">
        <v>22</v>
      </c>
      <c r="J412">
        <v>24480510</v>
      </c>
      <c r="K412" t="s">
        <v>66</v>
      </c>
      <c r="L412">
        <v>800102912</v>
      </c>
      <c r="M412" t="s">
        <v>57</v>
      </c>
      <c r="N412">
        <v>4300000</v>
      </c>
      <c r="O412">
        <v>0</v>
      </c>
      <c r="P412">
        <v>30100</v>
      </c>
      <c r="Q412" t="s">
        <v>486</v>
      </c>
      <c r="R412" t="s">
        <v>38</v>
      </c>
      <c r="S412">
        <v>2025</v>
      </c>
      <c r="T412">
        <v>12997019</v>
      </c>
      <c r="U412" t="s">
        <v>175</v>
      </c>
    </row>
    <row r="413" spans="1:21" x14ac:dyDescent="0.25">
      <c r="A413" t="s">
        <v>93</v>
      </c>
      <c r="B413">
        <v>1004404</v>
      </c>
      <c r="C413" s="1">
        <v>45958</v>
      </c>
      <c r="D413">
        <v>1</v>
      </c>
      <c r="E413">
        <v>1</v>
      </c>
      <c r="F413">
        <v>999</v>
      </c>
      <c r="G413" t="s">
        <v>22</v>
      </c>
      <c r="J413">
        <v>24480501</v>
      </c>
      <c r="K413" t="s">
        <v>35</v>
      </c>
      <c r="L413">
        <v>800102891</v>
      </c>
      <c r="M413" t="s">
        <v>36</v>
      </c>
      <c r="N413">
        <v>2142985</v>
      </c>
      <c r="O413">
        <v>0</v>
      </c>
      <c r="P413">
        <v>21430</v>
      </c>
      <c r="Q413" t="s">
        <v>645</v>
      </c>
      <c r="R413" t="s">
        <v>38</v>
      </c>
      <c r="S413">
        <v>2025</v>
      </c>
      <c r="T413">
        <v>18127828</v>
      </c>
      <c r="U413" t="s">
        <v>205</v>
      </c>
    </row>
    <row r="414" spans="1:21" x14ac:dyDescent="0.25">
      <c r="A414" t="s">
        <v>21</v>
      </c>
      <c r="B414">
        <v>5000101</v>
      </c>
      <c r="C414" s="1">
        <v>45959</v>
      </c>
      <c r="D414">
        <v>5</v>
      </c>
      <c r="E414">
        <v>5</v>
      </c>
      <c r="F414">
        <v>999</v>
      </c>
      <c r="G414" t="s">
        <v>22</v>
      </c>
      <c r="J414">
        <v>24480507</v>
      </c>
      <c r="K414" t="s">
        <v>219</v>
      </c>
      <c r="L414">
        <v>800102896</v>
      </c>
      <c r="M414" t="s">
        <v>24</v>
      </c>
      <c r="N414">
        <v>605042</v>
      </c>
      <c r="O414">
        <v>0</v>
      </c>
      <c r="P414">
        <v>6050</v>
      </c>
      <c r="Q414" t="s">
        <v>565</v>
      </c>
      <c r="R414" t="s">
        <v>320</v>
      </c>
      <c r="S414">
        <v>2025</v>
      </c>
      <c r="T414">
        <v>18144083</v>
      </c>
      <c r="U414" t="s">
        <v>333</v>
      </c>
    </row>
    <row r="415" spans="1:21" x14ac:dyDescent="0.25">
      <c r="A415" t="s">
        <v>21</v>
      </c>
      <c r="B415">
        <v>1002448</v>
      </c>
      <c r="C415" s="1">
        <v>45961</v>
      </c>
      <c r="D415">
        <v>1</v>
      </c>
      <c r="E415">
        <v>1</v>
      </c>
      <c r="F415">
        <v>999</v>
      </c>
      <c r="G415" t="s">
        <v>22</v>
      </c>
      <c r="J415">
        <v>24480501</v>
      </c>
      <c r="K415" t="s">
        <v>35</v>
      </c>
      <c r="L415">
        <v>800102891</v>
      </c>
      <c r="M415" t="s">
        <v>36</v>
      </c>
      <c r="N415">
        <v>591025</v>
      </c>
      <c r="O415">
        <v>0</v>
      </c>
      <c r="P415">
        <v>5910</v>
      </c>
      <c r="Q415" t="s">
        <v>225</v>
      </c>
      <c r="R415" t="s">
        <v>38</v>
      </c>
      <c r="S415">
        <v>2025</v>
      </c>
      <c r="T415">
        <v>48600248</v>
      </c>
      <c r="U415" t="s">
        <v>226</v>
      </c>
    </row>
    <row r="416" spans="1:21" x14ac:dyDescent="0.25">
      <c r="A416" t="s">
        <v>21</v>
      </c>
      <c r="B416">
        <v>3000708</v>
      </c>
      <c r="C416" s="1">
        <v>45961</v>
      </c>
      <c r="D416">
        <v>3</v>
      </c>
      <c r="E416">
        <v>3</v>
      </c>
      <c r="F416">
        <v>999</v>
      </c>
      <c r="G416" t="s">
        <v>22</v>
      </c>
      <c r="J416">
        <v>24480506</v>
      </c>
      <c r="K416" t="s">
        <v>28</v>
      </c>
      <c r="L416">
        <v>891200461</v>
      </c>
      <c r="M416" t="s">
        <v>29</v>
      </c>
      <c r="N416">
        <v>600000</v>
      </c>
      <c r="O416">
        <v>0</v>
      </c>
      <c r="P416">
        <v>6000</v>
      </c>
      <c r="Q416" t="s">
        <v>402</v>
      </c>
      <c r="R416" t="s">
        <v>151</v>
      </c>
      <c r="S416">
        <v>2025</v>
      </c>
      <c r="T416">
        <v>52969434</v>
      </c>
      <c r="U416" t="s">
        <v>403</v>
      </c>
    </row>
    <row r="417" spans="1:21" x14ac:dyDescent="0.25">
      <c r="A417" t="s">
        <v>21</v>
      </c>
      <c r="B417">
        <v>1002481</v>
      </c>
      <c r="C417" s="1">
        <v>45966</v>
      </c>
      <c r="D417">
        <v>1</v>
      </c>
      <c r="E417">
        <v>4</v>
      </c>
      <c r="F417">
        <v>999</v>
      </c>
      <c r="G417" t="s">
        <v>22</v>
      </c>
      <c r="J417">
        <v>24480510</v>
      </c>
      <c r="K417" t="s">
        <v>66</v>
      </c>
      <c r="L417">
        <v>800102912</v>
      </c>
      <c r="M417" t="s">
        <v>57</v>
      </c>
      <c r="N417">
        <v>400000</v>
      </c>
      <c r="O417">
        <v>0</v>
      </c>
      <c r="P417">
        <v>2800</v>
      </c>
      <c r="Q417" t="s">
        <v>118</v>
      </c>
      <c r="R417" t="s">
        <v>38</v>
      </c>
      <c r="S417">
        <v>2025</v>
      </c>
      <c r="T417">
        <v>900620983</v>
      </c>
      <c r="U417" t="s">
        <v>68</v>
      </c>
    </row>
    <row r="418" spans="1:21" x14ac:dyDescent="0.25">
      <c r="A418" t="s">
        <v>93</v>
      </c>
      <c r="B418">
        <v>4002411</v>
      </c>
      <c r="C418" s="1">
        <v>45966</v>
      </c>
      <c r="D418">
        <v>4</v>
      </c>
      <c r="E418">
        <v>4</v>
      </c>
      <c r="F418">
        <v>999</v>
      </c>
      <c r="G418" t="s">
        <v>22</v>
      </c>
      <c r="J418">
        <v>24480510</v>
      </c>
      <c r="K418" t="s">
        <v>66</v>
      </c>
      <c r="L418">
        <v>800102912</v>
      </c>
      <c r="M418" t="s">
        <v>57</v>
      </c>
      <c r="N418">
        <v>350000</v>
      </c>
      <c r="O418">
        <v>0</v>
      </c>
      <c r="P418">
        <v>2100</v>
      </c>
      <c r="Q418" t="s">
        <v>335</v>
      </c>
      <c r="R418" t="s">
        <v>59</v>
      </c>
      <c r="S418">
        <v>2025</v>
      </c>
      <c r="T418">
        <v>18153926</v>
      </c>
      <c r="U418" t="s">
        <v>104</v>
      </c>
    </row>
    <row r="419" spans="1:21" x14ac:dyDescent="0.25">
      <c r="A419" t="s">
        <v>21</v>
      </c>
      <c r="B419">
        <v>2000442</v>
      </c>
      <c r="C419" s="1">
        <v>45966</v>
      </c>
      <c r="D419">
        <v>2</v>
      </c>
      <c r="E419">
        <v>2</v>
      </c>
      <c r="F419">
        <v>999</v>
      </c>
      <c r="G419" t="s">
        <v>22</v>
      </c>
      <c r="J419">
        <v>24480518</v>
      </c>
      <c r="K419" t="s">
        <v>75</v>
      </c>
      <c r="L419">
        <v>891201645</v>
      </c>
      <c r="M419" t="s">
        <v>47</v>
      </c>
      <c r="N419">
        <v>150000</v>
      </c>
      <c r="O419">
        <v>0</v>
      </c>
      <c r="P419">
        <v>1500</v>
      </c>
      <c r="Q419" t="s">
        <v>468</v>
      </c>
      <c r="R419" t="s">
        <v>49</v>
      </c>
      <c r="S419">
        <v>2025</v>
      </c>
      <c r="T419">
        <v>97471547</v>
      </c>
      <c r="U419" t="s">
        <v>235</v>
      </c>
    </row>
    <row r="420" spans="1:21" x14ac:dyDescent="0.25">
      <c r="A420" t="s">
        <v>21</v>
      </c>
      <c r="B420">
        <v>1002527</v>
      </c>
      <c r="C420" s="1">
        <v>45967</v>
      </c>
      <c r="D420">
        <v>1</v>
      </c>
      <c r="E420">
        <v>1</v>
      </c>
      <c r="F420">
        <v>999</v>
      </c>
      <c r="G420" t="s">
        <v>22</v>
      </c>
      <c r="J420">
        <v>24480501</v>
      </c>
      <c r="K420" t="s">
        <v>35</v>
      </c>
      <c r="L420">
        <v>800102891</v>
      </c>
      <c r="M420" t="s">
        <v>36</v>
      </c>
      <c r="N420">
        <v>480000</v>
      </c>
      <c r="O420">
        <v>0</v>
      </c>
      <c r="P420">
        <v>4800</v>
      </c>
      <c r="Q420" t="s">
        <v>147</v>
      </c>
      <c r="R420" t="s">
        <v>38</v>
      </c>
      <c r="S420">
        <v>2025</v>
      </c>
      <c r="T420">
        <v>900437268</v>
      </c>
      <c r="U420" t="s">
        <v>39</v>
      </c>
    </row>
    <row r="421" spans="1:21" x14ac:dyDescent="0.25">
      <c r="A421" t="s">
        <v>21</v>
      </c>
      <c r="B421">
        <v>1002526</v>
      </c>
      <c r="C421" s="1">
        <v>45967</v>
      </c>
      <c r="D421">
        <v>1</v>
      </c>
      <c r="E421">
        <v>2</v>
      </c>
      <c r="F421">
        <v>999</v>
      </c>
      <c r="G421" t="s">
        <v>22</v>
      </c>
      <c r="J421">
        <v>24480518</v>
      </c>
      <c r="K421" t="s">
        <v>75</v>
      </c>
      <c r="L421">
        <v>891201645</v>
      </c>
      <c r="M421" t="s">
        <v>47</v>
      </c>
      <c r="N421">
        <v>270000</v>
      </c>
      <c r="O421">
        <v>0</v>
      </c>
      <c r="P421">
        <v>2700</v>
      </c>
      <c r="Q421" t="s">
        <v>331</v>
      </c>
      <c r="R421" t="s">
        <v>38</v>
      </c>
      <c r="S421">
        <v>2025</v>
      </c>
      <c r="T421">
        <v>900437268</v>
      </c>
      <c r="U421" t="s">
        <v>39</v>
      </c>
    </row>
    <row r="422" spans="1:21" x14ac:dyDescent="0.25">
      <c r="A422" t="s">
        <v>21</v>
      </c>
      <c r="B422">
        <v>1002522</v>
      </c>
      <c r="C422" s="1">
        <v>45967</v>
      </c>
      <c r="D422">
        <v>1</v>
      </c>
      <c r="E422">
        <v>7</v>
      </c>
      <c r="F422">
        <v>999</v>
      </c>
      <c r="G422" t="s">
        <v>22</v>
      </c>
      <c r="J422">
        <v>24480515</v>
      </c>
      <c r="K422" t="s">
        <v>52</v>
      </c>
      <c r="L422">
        <v>800252922</v>
      </c>
      <c r="M422" t="s">
        <v>53</v>
      </c>
      <c r="N422">
        <v>110000</v>
      </c>
      <c r="O422">
        <v>0</v>
      </c>
      <c r="P422">
        <v>880</v>
      </c>
      <c r="Q422" t="s">
        <v>472</v>
      </c>
      <c r="R422" t="s">
        <v>38</v>
      </c>
      <c r="S422">
        <v>2025</v>
      </c>
      <c r="T422">
        <v>900502634</v>
      </c>
      <c r="U422" t="s">
        <v>55</v>
      </c>
    </row>
    <row r="423" spans="1:21" x14ac:dyDescent="0.25">
      <c r="A423" t="s">
        <v>21</v>
      </c>
      <c r="B423">
        <v>1002525</v>
      </c>
      <c r="C423" s="1">
        <v>45967</v>
      </c>
      <c r="D423">
        <v>1</v>
      </c>
      <c r="E423">
        <v>4</v>
      </c>
      <c r="F423">
        <v>999</v>
      </c>
      <c r="G423" t="s">
        <v>22</v>
      </c>
      <c r="J423">
        <v>24480510</v>
      </c>
      <c r="K423" t="s">
        <v>66</v>
      </c>
      <c r="L423">
        <v>800102912</v>
      </c>
      <c r="M423" t="s">
        <v>57</v>
      </c>
      <c r="N423">
        <v>110000</v>
      </c>
      <c r="O423">
        <v>0</v>
      </c>
      <c r="P423">
        <v>770</v>
      </c>
      <c r="Q423" t="s">
        <v>514</v>
      </c>
      <c r="R423" t="s">
        <v>38</v>
      </c>
      <c r="S423">
        <v>2025</v>
      </c>
      <c r="T423">
        <v>900502634</v>
      </c>
      <c r="U423" t="s">
        <v>55</v>
      </c>
    </row>
    <row r="424" spans="1:21" x14ac:dyDescent="0.25">
      <c r="A424" t="s">
        <v>21</v>
      </c>
      <c r="B424">
        <v>1002523</v>
      </c>
      <c r="C424" s="1">
        <v>45967</v>
      </c>
      <c r="D424">
        <v>1</v>
      </c>
      <c r="E424">
        <v>7</v>
      </c>
      <c r="F424">
        <v>999</v>
      </c>
      <c r="G424" t="s">
        <v>22</v>
      </c>
      <c r="J424">
        <v>24480515</v>
      </c>
      <c r="K424" t="s">
        <v>52</v>
      </c>
      <c r="L424">
        <v>800252922</v>
      </c>
      <c r="M424" t="s">
        <v>53</v>
      </c>
      <c r="N424">
        <v>110000</v>
      </c>
      <c r="O424">
        <v>0</v>
      </c>
      <c r="P424">
        <v>880</v>
      </c>
      <c r="Q424" t="s">
        <v>537</v>
      </c>
      <c r="R424" t="s">
        <v>38</v>
      </c>
      <c r="S424">
        <v>2025</v>
      </c>
      <c r="T424">
        <v>900502634</v>
      </c>
      <c r="U424" t="s">
        <v>55</v>
      </c>
    </row>
    <row r="425" spans="1:21" x14ac:dyDescent="0.25">
      <c r="A425" t="s">
        <v>21</v>
      </c>
      <c r="B425">
        <v>1002537</v>
      </c>
      <c r="C425" s="1">
        <v>45968</v>
      </c>
      <c r="D425">
        <v>1</v>
      </c>
      <c r="E425">
        <v>7</v>
      </c>
      <c r="F425">
        <v>999</v>
      </c>
      <c r="G425" t="s">
        <v>22</v>
      </c>
      <c r="J425">
        <v>24480515</v>
      </c>
      <c r="K425" t="s">
        <v>52</v>
      </c>
      <c r="L425">
        <v>800252922</v>
      </c>
      <c r="M425" t="s">
        <v>53</v>
      </c>
      <c r="N425">
        <v>400000</v>
      </c>
      <c r="O425">
        <v>0</v>
      </c>
      <c r="P425">
        <v>3200</v>
      </c>
      <c r="Q425" t="s">
        <v>447</v>
      </c>
      <c r="R425" t="s">
        <v>38</v>
      </c>
      <c r="S425">
        <v>2025</v>
      </c>
      <c r="T425">
        <v>900620983</v>
      </c>
      <c r="U425" t="s">
        <v>68</v>
      </c>
    </row>
    <row r="426" spans="1:21" x14ac:dyDescent="0.25">
      <c r="A426" t="s">
        <v>21</v>
      </c>
      <c r="B426">
        <v>1002536</v>
      </c>
      <c r="C426" s="1">
        <v>45968</v>
      </c>
      <c r="D426">
        <v>1</v>
      </c>
      <c r="E426">
        <v>4</v>
      </c>
      <c r="F426">
        <v>999</v>
      </c>
      <c r="G426" t="s">
        <v>22</v>
      </c>
      <c r="J426">
        <v>24480510</v>
      </c>
      <c r="K426" t="s">
        <v>66</v>
      </c>
      <c r="L426">
        <v>800102912</v>
      </c>
      <c r="M426" t="s">
        <v>57</v>
      </c>
      <c r="N426">
        <v>501050</v>
      </c>
      <c r="O426">
        <v>0</v>
      </c>
      <c r="P426">
        <v>3507</v>
      </c>
      <c r="Q426" t="s">
        <v>602</v>
      </c>
      <c r="R426" t="s">
        <v>38</v>
      </c>
      <c r="S426">
        <v>2025</v>
      </c>
      <c r="T426">
        <v>900620983</v>
      </c>
      <c r="U426" t="s">
        <v>68</v>
      </c>
    </row>
    <row r="427" spans="1:21" x14ac:dyDescent="0.25">
      <c r="A427" t="s">
        <v>21</v>
      </c>
      <c r="B427">
        <v>2000452</v>
      </c>
      <c r="C427" s="1">
        <v>45971</v>
      </c>
      <c r="D427">
        <v>2</v>
      </c>
      <c r="E427">
        <v>2</v>
      </c>
      <c r="F427">
        <v>999</v>
      </c>
      <c r="G427" t="s">
        <v>22</v>
      </c>
      <c r="J427">
        <v>24480518</v>
      </c>
      <c r="K427" t="s">
        <v>75</v>
      </c>
      <c r="L427">
        <v>891201645</v>
      </c>
      <c r="M427" t="s">
        <v>47</v>
      </c>
      <c r="N427">
        <v>100000</v>
      </c>
      <c r="O427">
        <v>0</v>
      </c>
      <c r="P427">
        <v>1000</v>
      </c>
      <c r="Q427" t="s">
        <v>396</v>
      </c>
      <c r="R427" t="s">
        <v>49</v>
      </c>
      <c r="S427">
        <v>2025</v>
      </c>
      <c r="T427">
        <v>97470775</v>
      </c>
      <c r="U427" t="s">
        <v>397</v>
      </c>
    </row>
    <row r="428" spans="1:21" x14ac:dyDescent="0.25">
      <c r="A428" t="s">
        <v>21</v>
      </c>
      <c r="B428">
        <v>4000436</v>
      </c>
      <c r="C428" s="1">
        <v>45971</v>
      </c>
      <c r="D428">
        <v>4</v>
      </c>
      <c r="E428">
        <v>4</v>
      </c>
      <c r="F428">
        <v>999</v>
      </c>
      <c r="G428" t="s">
        <v>22</v>
      </c>
      <c r="J428">
        <v>24480510</v>
      </c>
      <c r="K428" t="s">
        <v>66</v>
      </c>
      <c r="L428">
        <v>800102912</v>
      </c>
      <c r="M428" t="s">
        <v>57</v>
      </c>
      <c r="N428">
        <v>1630000</v>
      </c>
      <c r="O428">
        <v>0</v>
      </c>
      <c r="P428">
        <v>9780</v>
      </c>
      <c r="Q428" t="s">
        <v>594</v>
      </c>
      <c r="R428" t="s">
        <v>59</v>
      </c>
      <c r="S428">
        <v>2025</v>
      </c>
      <c r="T428">
        <v>1061727860</v>
      </c>
      <c r="U428" t="s">
        <v>350</v>
      </c>
    </row>
    <row r="429" spans="1:21" x14ac:dyDescent="0.25">
      <c r="A429" t="s">
        <v>21</v>
      </c>
      <c r="B429">
        <v>1002551</v>
      </c>
      <c r="C429" s="1">
        <v>45971</v>
      </c>
      <c r="D429">
        <v>1</v>
      </c>
      <c r="E429">
        <v>8</v>
      </c>
      <c r="F429">
        <v>999</v>
      </c>
      <c r="G429" t="s">
        <v>22</v>
      </c>
      <c r="J429">
        <v>24480519</v>
      </c>
      <c r="K429" t="s">
        <v>32</v>
      </c>
      <c r="L429">
        <v>800054249</v>
      </c>
      <c r="M429" t="s">
        <v>33</v>
      </c>
      <c r="N429">
        <v>370000</v>
      </c>
      <c r="O429">
        <v>0</v>
      </c>
      <c r="P429">
        <v>1850</v>
      </c>
      <c r="Q429" t="s">
        <v>676</v>
      </c>
      <c r="R429" t="s">
        <v>38</v>
      </c>
      <c r="S429">
        <v>2025</v>
      </c>
      <c r="T429">
        <v>900579315</v>
      </c>
      <c r="U429" t="s">
        <v>44</v>
      </c>
    </row>
    <row r="430" spans="1:21" x14ac:dyDescent="0.25">
      <c r="A430" t="s">
        <v>21</v>
      </c>
      <c r="B430">
        <v>2000457</v>
      </c>
      <c r="C430" s="1">
        <v>45972</v>
      </c>
      <c r="D430">
        <v>2</v>
      </c>
      <c r="E430">
        <v>2</v>
      </c>
      <c r="F430">
        <v>999</v>
      </c>
      <c r="G430" t="s">
        <v>22</v>
      </c>
      <c r="J430">
        <v>24480517</v>
      </c>
      <c r="K430" t="s">
        <v>46</v>
      </c>
      <c r="L430">
        <v>891201645</v>
      </c>
      <c r="M430" t="s">
        <v>47</v>
      </c>
      <c r="N430">
        <v>600000</v>
      </c>
      <c r="O430">
        <v>0</v>
      </c>
      <c r="P430">
        <v>6000</v>
      </c>
      <c r="Q430" t="s">
        <v>479</v>
      </c>
      <c r="R430" t="s">
        <v>49</v>
      </c>
      <c r="S430">
        <v>2025</v>
      </c>
      <c r="T430">
        <v>41181552</v>
      </c>
      <c r="U430" t="s">
        <v>304</v>
      </c>
    </row>
    <row r="431" spans="1:21" x14ac:dyDescent="0.25">
      <c r="A431" t="s">
        <v>21</v>
      </c>
      <c r="B431">
        <v>6000345</v>
      </c>
      <c r="C431" s="1">
        <v>45973</v>
      </c>
      <c r="D431">
        <v>6</v>
      </c>
      <c r="E431">
        <v>6</v>
      </c>
      <c r="F431">
        <v>999</v>
      </c>
      <c r="G431" t="s">
        <v>22</v>
      </c>
      <c r="J431">
        <v>24480512</v>
      </c>
      <c r="K431" t="s">
        <v>123</v>
      </c>
      <c r="L431">
        <v>891200513</v>
      </c>
      <c r="M431" t="s">
        <v>124</v>
      </c>
      <c r="N431">
        <v>2700000</v>
      </c>
      <c r="O431">
        <v>0</v>
      </c>
      <c r="P431">
        <v>13500</v>
      </c>
      <c r="Q431" t="s">
        <v>428</v>
      </c>
      <c r="R431" t="s">
        <v>126</v>
      </c>
      <c r="S431">
        <v>2025</v>
      </c>
      <c r="T431">
        <v>1117961867</v>
      </c>
      <c r="U431" t="s">
        <v>383</v>
      </c>
    </row>
    <row r="432" spans="1:21" x14ac:dyDescent="0.25">
      <c r="A432" t="s">
        <v>21</v>
      </c>
      <c r="B432">
        <v>7000182</v>
      </c>
      <c r="C432" s="1">
        <v>45973</v>
      </c>
      <c r="D432">
        <v>7</v>
      </c>
      <c r="E432">
        <v>7</v>
      </c>
      <c r="F432">
        <v>999</v>
      </c>
      <c r="G432" t="s">
        <v>22</v>
      </c>
      <c r="J432">
        <v>24480515</v>
      </c>
      <c r="K432" t="s">
        <v>52</v>
      </c>
      <c r="L432">
        <v>800252922</v>
      </c>
      <c r="M432" t="s">
        <v>53</v>
      </c>
      <c r="N432">
        <v>528000</v>
      </c>
      <c r="O432">
        <v>0</v>
      </c>
      <c r="P432">
        <v>3168</v>
      </c>
      <c r="Q432" t="s">
        <v>495</v>
      </c>
      <c r="R432" t="s">
        <v>64</v>
      </c>
      <c r="S432">
        <v>2025</v>
      </c>
      <c r="T432">
        <v>69005416</v>
      </c>
      <c r="U432" t="s">
        <v>496</v>
      </c>
    </row>
    <row r="433" spans="1:21" x14ac:dyDescent="0.25">
      <c r="A433" t="s">
        <v>21</v>
      </c>
      <c r="B433">
        <v>4000442</v>
      </c>
      <c r="C433" s="1">
        <v>45973</v>
      </c>
      <c r="D433">
        <v>4</v>
      </c>
      <c r="E433">
        <v>4</v>
      </c>
      <c r="F433">
        <v>999</v>
      </c>
      <c r="G433" t="s">
        <v>22</v>
      </c>
      <c r="J433">
        <v>24480510</v>
      </c>
      <c r="K433" t="s">
        <v>66</v>
      </c>
      <c r="L433">
        <v>800102912</v>
      </c>
      <c r="M433" t="s">
        <v>57</v>
      </c>
      <c r="N433">
        <v>1854000</v>
      </c>
      <c r="O433">
        <v>0</v>
      </c>
      <c r="P433">
        <v>7416</v>
      </c>
      <c r="Q433" t="s">
        <v>566</v>
      </c>
      <c r="R433" t="s">
        <v>59</v>
      </c>
      <c r="S433">
        <v>2025</v>
      </c>
      <c r="T433">
        <v>16712199</v>
      </c>
      <c r="U433" t="s">
        <v>567</v>
      </c>
    </row>
    <row r="434" spans="1:21" x14ac:dyDescent="0.25">
      <c r="A434" t="s">
        <v>21</v>
      </c>
      <c r="B434">
        <v>2000460</v>
      </c>
      <c r="C434" s="1">
        <v>45973</v>
      </c>
      <c r="D434">
        <v>2</v>
      </c>
      <c r="E434">
        <v>2</v>
      </c>
      <c r="F434">
        <v>999</v>
      </c>
      <c r="G434" t="s">
        <v>22</v>
      </c>
      <c r="J434">
        <v>24480518</v>
      </c>
      <c r="K434" t="s">
        <v>75</v>
      </c>
      <c r="L434">
        <v>891201645</v>
      </c>
      <c r="M434" t="s">
        <v>47</v>
      </c>
      <c r="N434">
        <v>190000</v>
      </c>
      <c r="O434">
        <v>0</v>
      </c>
      <c r="P434">
        <v>1900</v>
      </c>
      <c r="Q434" t="s">
        <v>568</v>
      </c>
      <c r="R434" t="s">
        <v>49</v>
      </c>
      <c r="S434">
        <v>2025</v>
      </c>
      <c r="T434">
        <v>97472144</v>
      </c>
      <c r="U434" t="s">
        <v>352</v>
      </c>
    </row>
    <row r="435" spans="1:21" x14ac:dyDescent="0.25">
      <c r="A435" t="s">
        <v>21</v>
      </c>
      <c r="B435">
        <v>7000182</v>
      </c>
      <c r="C435" s="1">
        <v>45973</v>
      </c>
      <c r="D435">
        <v>7</v>
      </c>
      <c r="E435">
        <v>7</v>
      </c>
      <c r="F435">
        <v>999</v>
      </c>
      <c r="G435" t="s">
        <v>22</v>
      </c>
      <c r="J435">
        <v>24480515</v>
      </c>
      <c r="K435" t="s">
        <v>52</v>
      </c>
      <c r="L435">
        <v>800252922</v>
      </c>
      <c r="M435" t="s">
        <v>53</v>
      </c>
      <c r="N435">
        <v>1638000</v>
      </c>
      <c r="O435">
        <v>0</v>
      </c>
      <c r="P435">
        <v>9828</v>
      </c>
      <c r="Q435" t="s">
        <v>495</v>
      </c>
      <c r="R435" t="s">
        <v>64</v>
      </c>
      <c r="S435">
        <v>2025</v>
      </c>
      <c r="T435">
        <v>38196120</v>
      </c>
      <c r="U435" t="s">
        <v>638</v>
      </c>
    </row>
    <row r="436" spans="1:21" x14ac:dyDescent="0.25">
      <c r="A436" t="s">
        <v>21</v>
      </c>
      <c r="B436">
        <v>4000443</v>
      </c>
      <c r="C436" s="1">
        <v>45974</v>
      </c>
      <c r="D436">
        <v>4</v>
      </c>
      <c r="E436">
        <v>4</v>
      </c>
      <c r="F436">
        <v>999</v>
      </c>
      <c r="G436" t="s">
        <v>22</v>
      </c>
      <c r="J436">
        <v>24480509</v>
      </c>
      <c r="K436" t="s">
        <v>56</v>
      </c>
      <c r="L436">
        <v>800102912</v>
      </c>
      <c r="M436" t="s">
        <v>57</v>
      </c>
      <c r="N436">
        <v>2036555</v>
      </c>
      <c r="O436">
        <v>0</v>
      </c>
      <c r="P436">
        <v>14256</v>
      </c>
      <c r="Q436" t="s">
        <v>213</v>
      </c>
      <c r="R436" t="s">
        <v>59</v>
      </c>
      <c r="S436">
        <v>2025</v>
      </c>
      <c r="T436">
        <v>26424871</v>
      </c>
      <c r="U436" t="s">
        <v>214</v>
      </c>
    </row>
    <row r="437" spans="1:21" x14ac:dyDescent="0.25">
      <c r="A437" t="s">
        <v>21</v>
      </c>
      <c r="B437">
        <v>6000346</v>
      </c>
      <c r="C437" s="1">
        <v>45974</v>
      </c>
      <c r="D437">
        <v>6</v>
      </c>
      <c r="E437">
        <v>6</v>
      </c>
      <c r="F437">
        <v>999</v>
      </c>
      <c r="G437" t="s">
        <v>22</v>
      </c>
      <c r="J437">
        <v>24480512</v>
      </c>
      <c r="K437" t="s">
        <v>123</v>
      </c>
      <c r="L437">
        <v>891200513</v>
      </c>
      <c r="M437" t="s">
        <v>124</v>
      </c>
      <c r="N437">
        <v>600000</v>
      </c>
      <c r="O437">
        <v>0</v>
      </c>
      <c r="P437">
        <v>3000</v>
      </c>
      <c r="Q437" t="s">
        <v>227</v>
      </c>
      <c r="R437" t="s">
        <v>126</v>
      </c>
      <c r="S437">
        <v>2025</v>
      </c>
      <c r="T437">
        <v>1144040582</v>
      </c>
      <c r="U437" t="s">
        <v>228</v>
      </c>
    </row>
    <row r="438" spans="1:21" x14ac:dyDescent="0.25">
      <c r="A438" t="s">
        <v>21</v>
      </c>
      <c r="B438">
        <v>1002596</v>
      </c>
      <c r="C438" s="1">
        <v>45979</v>
      </c>
      <c r="D438">
        <v>1</v>
      </c>
      <c r="E438">
        <v>1</v>
      </c>
      <c r="F438">
        <v>999</v>
      </c>
      <c r="G438" t="s">
        <v>22</v>
      </c>
      <c r="J438">
        <v>24480501</v>
      </c>
      <c r="K438" t="s">
        <v>35</v>
      </c>
      <c r="L438">
        <v>800102891</v>
      </c>
      <c r="M438" t="s">
        <v>36</v>
      </c>
      <c r="N438">
        <v>0</v>
      </c>
      <c r="O438">
        <v>122007</v>
      </c>
      <c r="P438">
        <v>0</v>
      </c>
      <c r="Q438" t="s">
        <v>61</v>
      </c>
      <c r="R438" t="s">
        <v>38</v>
      </c>
      <c r="S438">
        <v>2025</v>
      </c>
      <c r="T438">
        <v>800102891</v>
      </c>
      <c r="U438" t="s">
        <v>36</v>
      </c>
    </row>
    <row r="439" spans="1:21" x14ac:dyDescent="0.25">
      <c r="A439" t="s">
        <v>21</v>
      </c>
      <c r="B439">
        <v>1002617</v>
      </c>
      <c r="C439" s="1">
        <v>45979</v>
      </c>
      <c r="D439">
        <v>1</v>
      </c>
      <c r="E439">
        <v>8</v>
      </c>
      <c r="F439">
        <v>999</v>
      </c>
      <c r="G439" t="s">
        <v>22</v>
      </c>
      <c r="J439">
        <v>24480519</v>
      </c>
      <c r="K439" t="s">
        <v>32</v>
      </c>
      <c r="L439">
        <v>800054249</v>
      </c>
      <c r="M439" t="s">
        <v>33</v>
      </c>
      <c r="N439">
        <v>10839498</v>
      </c>
      <c r="O439">
        <v>0</v>
      </c>
      <c r="P439">
        <v>54197</v>
      </c>
      <c r="Q439" t="s">
        <v>105</v>
      </c>
      <c r="R439" t="s">
        <v>38</v>
      </c>
      <c r="S439">
        <v>2025</v>
      </c>
      <c r="T439">
        <v>900579315</v>
      </c>
      <c r="U439" t="s">
        <v>44</v>
      </c>
    </row>
    <row r="440" spans="1:21" x14ac:dyDescent="0.25">
      <c r="A440" t="s">
        <v>21</v>
      </c>
      <c r="B440">
        <v>4000448</v>
      </c>
      <c r="C440" s="1">
        <v>45979</v>
      </c>
      <c r="D440">
        <v>4</v>
      </c>
      <c r="E440">
        <v>4</v>
      </c>
      <c r="F440">
        <v>999</v>
      </c>
      <c r="G440" t="s">
        <v>22</v>
      </c>
      <c r="J440">
        <v>24480510</v>
      </c>
      <c r="K440" t="s">
        <v>66</v>
      </c>
      <c r="L440">
        <v>800102912</v>
      </c>
      <c r="M440" t="s">
        <v>57</v>
      </c>
      <c r="N440">
        <v>2402000</v>
      </c>
      <c r="O440">
        <v>0</v>
      </c>
      <c r="P440">
        <v>16814</v>
      </c>
      <c r="Q440" t="s">
        <v>188</v>
      </c>
      <c r="R440" t="s">
        <v>59</v>
      </c>
      <c r="S440">
        <v>2025</v>
      </c>
      <c r="T440">
        <v>83226508</v>
      </c>
      <c r="U440" t="s">
        <v>189</v>
      </c>
    </row>
    <row r="441" spans="1:21" x14ac:dyDescent="0.25">
      <c r="A441" t="s">
        <v>21</v>
      </c>
      <c r="B441">
        <v>1002600</v>
      </c>
      <c r="C441" s="1">
        <v>45979</v>
      </c>
      <c r="D441">
        <v>1</v>
      </c>
      <c r="E441">
        <v>5</v>
      </c>
      <c r="F441">
        <v>999</v>
      </c>
      <c r="G441" t="s">
        <v>22</v>
      </c>
      <c r="J441">
        <v>24480507</v>
      </c>
      <c r="K441" t="s">
        <v>219</v>
      </c>
      <c r="L441">
        <v>800102896</v>
      </c>
      <c r="M441" t="s">
        <v>24</v>
      </c>
      <c r="N441">
        <v>0</v>
      </c>
      <c r="O441">
        <v>6050</v>
      </c>
      <c r="P441">
        <v>0</v>
      </c>
      <c r="Q441" t="s">
        <v>220</v>
      </c>
    </row>
    <row r="442" spans="1:21" x14ac:dyDescent="0.25">
      <c r="A442" t="s">
        <v>21</v>
      </c>
      <c r="B442">
        <v>1002602</v>
      </c>
      <c r="C442" s="1">
        <v>45979</v>
      </c>
      <c r="D442">
        <v>1</v>
      </c>
      <c r="E442">
        <v>7</v>
      </c>
      <c r="F442">
        <v>999</v>
      </c>
      <c r="G442" t="s">
        <v>22</v>
      </c>
      <c r="J442">
        <v>24480515</v>
      </c>
      <c r="K442" t="s">
        <v>52</v>
      </c>
      <c r="L442">
        <v>800252922</v>
      </c>
      <c r="M442" t="s">
        <v>53</v>
      </c>
      <c r="N442">
        <v>0</v>
      </c>
      <c r="O442">
        <v>48253</v>
      </c>
      <c r="P442">
        <v>0</v>
      </c>
      <c r="Q442" t="s">
        <v>244</v>
      </c>
    </row>
    <row r="443" spans="1:21" x14ac:dyDescent="0.25">
      <c r="A443" t="s">
        <v>21</v>
      </c>
      <c r="B443">
        <v>1002599</v>
      </c>
      <c r="C443" s="1">
        <v>45979</v>
      </c>
      <c r="D443">
        <v>1</v>
      </c>
      <c r="E443">
        <v>4</v>
      </c>
      <c r="F443">
        <v>999</v>
      </c>
      <c r="G443" t="s">
        <v>22</v>
      </c>
      <c r="J443">
        <v>24480509</v>
      </c>
      <c r="K443" t="s">
        <v>56</v>
      </c>
      <c r="L443">
        <v>800102912</v>
      </c>
      <c r="M443" t="s">
        <v>57</v>
      </c>
      <c r="N443">
        <v>0</v>
      </c>
      <c r="O443">
        <v>282457</v>
      </c>
      <c r="P443">
        <v>0</v>
      </c>
      <c r="Q443" t="s">
        <v>372</v>
      </c>
    </row>
    <row r="444" spans="1:21" x14ac:dyDescent="0.25">
      <c r="A444" t="s">
        <v>21</v>
      </c>
      <c r="B444">
        <v>1002604</v>
      </c>
      <c r="C444" s="1">
        <v>45979</v>
      </c>
      <c r="D444">
        <v>1</v>
      </c>
      <c r="E444">
        <v>8</v>
      </c>
      <c r="F444">
        <v>999</v>
      </c>
      <c r="G444" t="s">
        <v>22</v>
      </c>
      <c r="J444">
        <v>24480519</v>
      </c>
      <c r="K444" t="s">
        <v>32</v>
      </c>
      <c r="L444">
        <v>800054249</v>
      </c>
      <c r="M444" t="s">
        <v>33</v>
      </c>
      <c r="N444">
        <v>0</v>
      </c>
      <c r="O444">
        <v>56047</v>
      </c>
      <c r="P444">
        <v>0</v>
      </c>
      <c r="Q444" t="s">
        <v>394</v>
      </c>
    </row>
    <row r="445" spans="1:21" x14ac:dyDescent="0.25">
      <c r="A445" t="s">
        <v>21</v>
      </c>
      <c r="B445">
        <v>1002601</v>
      </c>
      <c r="C445" s="1">
        <v>45979</v>
      </c>
      <c r="D445">
        <v>1</v>
      </c>
      <c r="E445">
        <v>6</v>
      </c>
      <c r="F445">
        <v>999</v>
      </c>
      <c r="G445" t="s">
        <v>22</v>
      </c>
      <c r="J445">
        <v>24480512</v>
      </c>
      <c r="K445" t="s">
        <v>123</v>
      </c>
      <c r="L445">
        <v>891200513</v>
      </c>
      <c r="M445" t="s">
        <v>124</v>
      </c>
      <c r="N445">
        <v>0</v>
      </c>
      <c r="O445">
        <v>14202</v>
      </c>
      <c r="P445">
        <v>0</v>
      </c>
      <c r="Q445" t="s">
        <v>418</v>
      </c>
    </row>
    <row r="446" spans="1:21" x14ac:dyDescent="0.25">
      <c r="A446" t="s">
        <v>21</v>
      </c>
      <c r="B446">
        <v>1002598</v>
      </c>
      <c r="C446" s="1">
        <v>45979</v>
      </c>
      <c r="D446">
        <v>1</v>
      </c>
      <c r="E446">
        <v>3</v>
      </c>
      <c r="F446">
        <v>999</v>
      </c>
      <c r="G446" t="s">
        <v>22</v>
      </c>
      <c r="J446">
        <v>24480506</v>
      </c>
      <c r="K446" t="s">
        <v>28</v>
      </c>
      <c r="L446">
        <v>891200461</v>
      </c>
      <c r="M446" t="s">
        <v>29</v>
      </c>
      <c r="N446">
        <v>0</v>
      </c>
      <c r="O446">
        <v>13000</v>
      </c>
      <c r="P446">
        <v>0</v>
      </c>
      <c r="Q446" t="s">
        <v>462</v>
      </c>
    </row>
    <row r="447" spans="1:21" x14ac:dyDescent="0.25">
      <c r="A447" t="s">
        <v>21</v>
      </c>
      <c r="B447">
        <v>1002596</v>
      </c>
      <c r="C447" s="1">
        <v>45979</v>
      </c>
      <c r="D447">
        <v>1</v>
      </c>
      <c r="E447">
        <v>1</v>
      </c>
      <c r="F447">
        <v>999</v>
      </c>
      <c r="G447" t="s">
        <v>22</v>
      </c>
      <c r="J447">
        <v>24480502</v>
      </c>
      <c r="K447" t="s">
        <v>106</v>
      </c>
      <c r="L447">
        <v>800102891</v>
      </c>
      <c r="M447" t="s">
        <v>36</v>
      </c>
      <c r="N447">
        <v>0</v>
      </c>
      <c r="O447">
        <v>16800</v>
      </c>
      <c r="P447">
        <v>0</v>
      </c>
      <c r="Q447" t="s">
        <v>61</v>
      </c>
      <c r="R447" t="s">
        <v>38</v>
      </c>
      <c r="S447">
        <v>2025</v>
      </c>
      <c r="T447">
        <v>800102891</v>
      </c>
      <c r="U447" t="s">
        <v>36</v>
      </c>
    </row>
    <row r="448" spans="1:21" x14ac:dyDescent="0.25">
      <c r="A448" t="s">
        <v>21</v>
      </c>
      <c r="B448">
        <v>1002600</v>
      </c>
      <c r="C448" s="1">
        <v>45979</v>
      </c>
      <c r="D448">
        <v>1</v>
      </c>
      <c r="E448">
        <v>5</v>
      </c>
      <c r="F448">
        <v>999</v>
      </c>
      <c r="G448" t="s">
        <v>22</v>
      </c>
      <c r="J448">
        <v>24480508</v>
      </c>
      <c r="K448" t="s">
        <v>23</v>
      </c>
      <c r="L448">
        <v>800102896</v>
      </c>
      <c r="M448" t="s">
        <v>24</v>
      </c>
      <c r="N448">
        <v>0</v>
      </c>
      <c r="O448">
        <v>17000</v>
      </c>
      <c r="P448">
        <v>0</v>
      </c>
      <c r="Q448" t="s">
        <v>220</v>
      </c>
    </row>
    <row r="449" spans="1:21" x14ac:dyDescent="0.25">
      <c r="A449" t="s">
        <v>21</v>
      </c>
      <c r="B449">
        <v>1002597</v>
      </c>
      <c r="C449" s="1">
        <v>45979</v>
      </c>
      <c r="D449">
        <v>1</v>
      </c>
      <c r="E449">
        <v>2</v>
      </c>
      <c r="F449">
        <v>999</v>
      </c>
      <c r="G449" t="s">
        <v>22</v>
      </c>
      <c r="J449">
        <v>24480518</v>
      </c>
      <c r="K449" t="s">
        <v>75</v>
      </c>
      <c r="L449">
        <v>891201645</v>
      </c>
      <c r="M449" t="s">
        <v>47</v>
      </c>
      <c r="N449">
        <v>0</v>
      </c>
      <c r="O449">
        <v>38700</v>
      </c>
      <c r="P449">
        <v>0</v>
      </c>
      <c r="Q449" t="s">
        <v>670</v>
      </c>
    </row>
    <row r="450" spans="1:21" x14ac:dyDescent="0.25">
      <c r="A450" t="s">
        <v>21</v>
      </c>
      <c r="B450">
        <v>1002599</v>
      </c>
      <c r="C450" s="1">
        <v>45979</v>
      </c>
      <c r="D450">
        <v>1</v>
      </c>
      <c r="E450">
        <v>4</v>
      </c>
      <c r="F450">
        <v>999</v>
      </c>
      <c r="G450" t="s">
        <v>22</v>
      </c>
      <c r="J450">
        <v>24480510</v>
      </c>
      <c r="K450" t="s">
        <v>66</v>
      </c>
      <c r="L450">
        <v>800102912</v>
      </c>
      <c r="M450" t="s">
        <v>57</v>
      </c>
      <c r="N450">
        <v>0</v>
      </c>
      <c r="O450">
        <v>42606</v>
      </c>
      <c r="P450">
        <v>0</v>
      </c>
      <c r="Q450" t="s">
        <v>372</v>
      </c>
    </row>
    <row r="451" spans="1:21" x14ac:dyDescent="0.25">
      <c r="A451" t="s">
        <v>21</v>
      </c>
      <c r="B451">
        <v>4000452</v>
      </c>
      <c r="C451" s="1">
        <v>45981</v>
      </c>
      <c r="D451">
        <v>4</v>
      </c>
      <c r="E451">
        <v>4</v>
      </c>
      <c r="F451">
        <v>999</v>
      </c>
      <c r="G451" t="s">
        <v>22</v>
      </c>
      <c r="J451">
        <v>24480509</v>
      </c>
      <c r="K451" t="s">
        <v>56</v>
      </c>
      <c r="L451">
        <v>800102912</v>
      </c>
      <c r="M451" t="s">
        <v>57</v>
      </c>
      <c r="N451">
        <v>200000</v>
      </c>
      <c r="O451">
        <v>0</v>
      </c>
      <c r="P451">
        <v>1400</v>
      </c>
      <c r="Q451" t="s">
        <v>264</v>
      </c>
      <c r="R451" t="s">
        <v>59</v>
      </c>
      <c r="S451">
        <v>2025</v>
      </c>
      <c r="T451">
        <v>18155317</v>
      </c>
      <c r="U451" t="s">
        <v>265</v>
      </c>
    </row>
    <row r="452" spans="1:21" x14ac:dyDescent="0.25">
      <c r="A452" t="s">
        <v>21</v>
      </c>
      <c r="B452">
        <v>1002638</v>
      </c>
      <c r="C452" s="1">
        <v>45981</v>
      </c>
      <c r="D452">
        <v>1</v>
      </c>
      <c r="E452">
        <v>4</v>
      </c>
      <c r="F452">
        <v>999</v>
      </c>
      <c r="G452" t="s">
        <v>22</v>
      </c>
      <c r="J452">
        <v>24480510</v>
      </c>
      <c r="K452" t="s">
        <v>66</v>
      </c>
      <c r="L452">
        <v>800102912</v>
      </c>
      <c r="M452" t="s">
        <v>57</v>
      </c>
      <c r="N452">
        <v>2800000</v>
      </c>
      <c r="O452">
        <v>0</v>
      </c>
      <c r="P452">
        <v>19600</v>
      </c>
      <c r="Q452" t="s">
        <v>363</v>
      </c>
      <c r="R452" t="s">
        <v>38</v>
      </c>
      <c r="S452">
        <v>2025</v>
      </c>
      <c r="T452">
        <v>89004807</v>
      </c>
      <c r="U452" t="s">
        <v>364</v>
      </c>
    </row>
    <row r="453" spans="1:21" x14ac:dyDescent="0.25">
      <c r="A453" t="s">
        <v>21</v>
      </c>
      <c r="B453">
        <v>1002639</v>
      </c>
      <c r="C453" s="1">
        <v>45981</v>
      </c>
      <c r="D453">
        <v>1</v>
      </c>
      <c r="E453">
        <v>1</v>
      </c>
      <c r="F453">
        <v>999</v>
      </c>
      <c r="G453" t="s">
        <v>22</v>
      </c>
      <c r="J453">
        <v>24480501</v>
      </c>
      <c r="K453" t="s">
        <v>35</v>
      </c>
      <c r="L453">
        <v>800102891</v>
      </c>
      <c r="M453" t="s">
        <v>36</v>
      </c>
      <c r="N453">
        <v>1159950</v>
      </c>
      <c r="O453">
        <v>0</v>
      </c>
      <c r="P453">
        <v>11600</v>
      </c>
      <c r="Q453" t="s">
        <v>374</v>
      </c>
      <c r="R453" t="s">
        <v>38</v>
      </c>
      <c r="S453">
        <v>2025</v>
      </c>
      <c r="T453">
        <v>41170105</v>
      </c>
      <c r="U453" t="s">
        <v>375</v>
      </c>
    </row>
    <row r="454" spans="1:21" x14ac:dyDescent="0.25">
      <c r="A454" t="s">
        <v>21</v>
      </c>
      <c r="B454">
        <v>1002639</v>
      </c>
      <c r="C454" s="1">
        <v>45981</v>
      </c>
      <c r="D454">
        <v>1</v>
      </c>
      <c r="E454">
        <v>1</v>
      </c>
      <c r="F454">
        <v>999</v>
      </c>
      <c r="G454" t="s">
        <v>22</v>
      </c>
      <c r="J454">
        <v>24480501</v>
      </c>
      <c r="K454" t="s">
        <v>35</v>
      </c>
      <c r="L454">
        <v>800102891</v>
      </c>
      <c r="M454" t="s">
        <v>36</v>
      </c>
      <c r="N454">
        <v>1933250</v>
      </c>
      <c r="O454">
        <v>0</v>
      </c>
      <c r="P454">
        <v>19333</v>
      </c>
      <c r="Q454" t="s">
        <v>374</v>
      </c>
      <c r="R454" t="s">
        <v>38</v>
      </c>
      <c r="S454">
        <v>2025</v>
      </c>
      <c r="T454">
        <v>1126003236</v>
      </c>
      <c r="U454" t="s">
        <v>169</v>
      </c>
    </row>
    <row r="455" spans="1:21" x14ac:dyDescent="0.25">
      <c r="A455" t="s">
        <v>21</v>
      </c>
      <c r="B455">
        <v>2000475</v>
      </c>
      <c r="C455" s="1">
        <v>45985</v>
      </c>
      <c r="D455">
        <v>2</v>
      </c>
      <c r="E455">
        <v>2</v>
      </c>
      <c r="F455">
        <v>999</v>
      </c>
      <c r="G455" t="s">
        <v>22</v>
      </c>
      <c r="J455">
        <v>24480518</v>
      </c>
      <c r="K455" t="s">
        <v>75</v>
      </c>
      <c r="L455">
        <v>891201645</v>
      </c>
      <c r="M455" t="s">
        <v>47</v>
      </c>
      <c r="N455">
        <v>200000</v>
      </c>
      <c r="O455">
        <v>0</v>
      </c>
      <c r="P455">
        <v>2000</v>
      </c>
      <c r="Q455" t="s">
        <v>88</v>
      </c>
      <c r="R455" t="s">
        <v>49</v>
      </c>
      <c r="S455">
        <v>2025</v>
      </c>
      <c r="T455">
        <v>846003113</v>
      </c>
      <c r="U455" t="s">
        <v>89</v>
      </c>
    </row>
    <row r="456" spans="1:21" x14ac:dyDescent="0.25">
      <c r="A456" t="s">
        <v>21</v>
      </c>
      <c r="B456">
        <v>1002654</v>
      </c>
      <c r="C456" s="1">
        <v>45985</v>
      </c>
      <c r="D456">
        <v>1</v>
      </c>
      <c r="E456">
        <v>8</v>
      </c>
      <c r="F456">
        <v>999</v>
      </c>
      <c r="G456" t="s">
        <v>22</v>
      </c>
      <c r="J456">
        <v>24480519</v>
      </c>
      <c r="K456" t="s">
        <v>32</v>
      </c>
      <c r="L456">
        <v>800054249</v>
      </c>
      <c r="M456" t="s">
        <v>33</v>
      </c>
      <c r="N456">
        <v>2700000</v>
      </c>
      <c r="O456">
        <v>0</v>
      </c>
      <c r="P456">
        <v>16200</v>
      </c>
      <c r="Q456" t="s">
        <v>353</v>
      </c>
      <c r="R456" t="s">
        <v>38</v>
      </c>
      <c r="S456">
        <v>2025</v>
      </c>
      <c r="T456">
        <v>41170646</v>
      </c>
      <c r="U456" t="s">
        <v>354</v>
      </c>
    </row>
    <row r="457" spans="1:21" x14ac:dyDescent="0.25">
      <c r="A457" t="s">
        <v>93</v>
      </c>
      <c r="B457">
        <v>1004761</v>
      </c>
      <c r="C457" s="1">
        <v>45985</v>
      </c>
      <c r="D457">
        <v>1</v>
      </c>
      <c r="E457">
        <v>1</v>
      </c>
      <c r="F457">
        <v>999</v>
      </c>
      <c r="G457" t="s">
        <v>22</v>
      </c>
      <c r="J457">
        <v>24480501</v>
      </c>
      <c r="K457" t="s">
        <v>35</v>
      </c>
      <c r="L457">
        <v>800102891</v>
      </c>
      <c r="M457" t="s">
        <v>36</v>
      </c>
      <c r="N457">
        <v>2142985</v>
      </c>
      <c r="O457">
        <v>0</v>
      </c>
      <c r="P457">
        <v>21430</v>
      </c>
      <c r="Q457" t="s">
        <v>398</v>
      </c>
      <c r="R457" t="s">
        <v>38</v>
      </c>
      <c r="S457">
        <v>2025</v>
      </c>
      <c r="T457">
        <v>18127828</v>
      </c>
      <c r="U457" t="s">
        <v>205</v>
      </c>
    </row>
    <row r="458" spans="1:21" x14ac:dyDescent="0.25">
      <c r="A458" t="s">
        <v>21</v>
      </c>
      <c r="B458">
        <v>1002654</v>
      </c>
      <c r="C458" s="1">
        <v>45985</v>
      </c>
      <c r="D458">
        <v>1</v>
      </c>
      <c r="E458">
        <v>1</v>
      </c>
      <c r="F458">
        <v>999</v>
      </c>
      <c r="G458" t="s">
        <v>22</v>
      </c>
      <c r="J458">
        <v>24480519</v>
      </c>
      <c r="K458" t="s">
        <v>32</v>
      </c>
      <c r="L458">
        <v>800054249</v>
      </c>
      <c r="M458" t="s">
        <v>33</v>
      </c>
      <c r="N458">
        <v>150000</v>
      </c>
      <c r="O458">
        <v>0</v>
      </c>
      <c r="P458">
        <v>900</v>
      </c>
      <c r="Q458" t="s">
        <v>353</v>
      </c>
      <c r="R458" t="s">
        <v>38</v>
      </c>
      <c r="S458">
        <v>2025</v>
      </c>
      <c r="T458">
        <v>17640433</v>
      </c>
      <c r="U458" t="s">
        <v>420</v>
      </c>
    </row>
    <row r="459" spans="1:21" x14ac:dyDescent="0.25">
      <c r="A459" t="s">
        <v>21</v>
      </c>
      <c r="B459">
        <v>4000461</v>
      </c>
      <c r="C459" s="1">
        <v>45985</v>
      </c>
      <c r="D459">
        <v>4</v>
      </c>
      <c r="E459">
        <v>4</v>
      </c>
      <c r="F459">
        <v>999</v>
      </c>
      <c r="G459" t="s">
        <v>22</v>
      </c>
      <c r="J459">
        <v>24480510</v>
      </c>
      <c r="K459" t="s">
        <v>66</v>
      </c>
      <c r="L459">
        <v>800102912</v>
      </c>
      <c r="M459" t="s">
        <v>57</v>
      </c>
      <c r="N459">
        <v>3150000</v>
      </c>
      <c r="O459">
        <v>0</v>
      </c>
      <c r="P459">
        <v>14175</v>
      </c>
      <c r="Q459" t="s">
        <v>609</v>
      </c>
      <c r="R459" t="s">
        <v>59</v>
      </c>
      <c r="S459">
        <v>2025</v>
      </c>
      <c r="T459">
        <v>66808199</v>
      </c>
      <c r="U459" t="s">
        <v>166</v>
      </c>
    </row>
    <row r="460" spans="1:21" x14ac:dyDescent="0.25">
      <c r="A460" t="s">
        <v>21</v>
      </c>
      <c r="B460">
        <v>1002666</v>
      </c>
      <c r="C460" s="1">
        <v>45986</v>
      </c>
      <c r="D460">
        <v>1</v>
      </c>
      <c r="E460">
        <v>1</v>
      </c>
      <c r="F460">
        <v>999</v>
      </c>
      <c r="G460" t="s">
        <v>22</v>
      </c>
      <c r="J460">
        <v>24480501</v>
      </c>
      <c r="K460" t="s">
        <v>35</v>
      </c>
      <c r="L460">
        <v>800102891</v>
      </c>
      <c r="M460" t="s">
        <v>36</v>
      </c>
      <c r="N460">
        <v>6594803</v>
      </c>
      <c r="O460">
        <v>0</v>
      </c>
      <c r="P460">
        <v>65948</v>
      </c>
      <c r="Q460" t="s">
        <v>334</v>
      </c>
      <c r="R460" t="s">
        <v>38</v>
      </c>
      <c r="S460">
        <v>2025</v>
      </c>
      <c r="T460">
        <v>18145427</v>
      </c>
      <c r="U460" t="s">
        <v>70</v>
      </c>
    </row>
    <row r="461" spans="1:21" x14ac:dyDescent="0.25">
      <c r="A461" t="s">
        <v>21</v>
      </c>
      <c r="B461">
        <v>1002674</v>
      </c>
      <c r="C461" s="1">
        <v>45987</v>
      </c>
      <c r="D461">
        <v>1</v>
      </c>
      <c r="E461">
        <v>1</v>
      </c>
      <c r="F461">
        <v>999</v>
      </c>
      <c r="G461" t="s">
        <v>22</v>
      </c>
      <c r="J461">
        <v>24480501</v>
      </c>
      <c r="K461" t="s">
        <v>35</v>
      </c>
      <c r="L461">
        <v>800102891</v>
      </c>
      <c r="M461" t="s">
        <v>36</v>
      </c>
      <c r="N461">
        <v>516500</v>
      </c>
      <c r="O461">
        <v>0</v>
      </c>
      <c r="P461">
        <v>5165</v>
      </c>
      <c r="Q461" t="s">
        <v>194</v>
      </c>
      <c r="R461" t="s">
        <v>38</v>
      </c>
      <c r="S461">
        <v>2025</v>
      </c>
      <c r="T461">
        <v>18125303</v>
      </c>
      <c r="U461" t="s">
        <v>195</v>
      </c>
    </row>
    <row r="462" spans="1:21" x14ac:dyDescent="0.25">
      <c r="A462" t="s">
        <v>21</v>
      </c>
      <c r="B462">
        <v>3000782</v>
      </c>
      <c r="C462" s="1">
        <v>45987</v>
      </c>
      <c r="D462">
        <v>3</v>
      </c>
      <c r="E462">
        <v>3</v>
      </c>
      <c r="F462">
        <v>999</v>
      </c>
      <c r="G462" t="s">
        <v>22</v>
      </c>
      <c r="J462">
        <v>24480506</v>
      </c>
      <c r="K462" t="s">
        <v>28</v>
      </c>
      <c r="L462">
        <v>891200461</v>
      </c>
      <c r="M462" t="s">
        <v>29</v>
      </c>
      <c r="N462">
        <v>3150000</v>
      </c>
      <c r="O462">
        <v>0</v>
      </c>
      <c r="P462">
        <v>31500</v>
      </c>
      <c r="Q462" t="s">
        <v>295</v>
      </c>
      <c r="R462" t="s">
        <v>151</v>
      </c>
      <c r="S462">
        <v>2025</v>
      </c>
      <c r="T462">
        <v>1112467509</v>
      </c>
      <c r="U462" t="s">
        <v>296</v>
      </c>
    </row>
    <row r="463" spans="1:21" x14ac:dyDescent="0.25">
      <c r="A463" t="s">
        <v>21</v>
      </c>
      <c r="B463">
        <v>7000193</v>
      </c>
      <c r="C463" s="1">
        <v>45989</v>
      </c>
      <c r="D463">
        <v>7</v>
      </c>
      <c r="E463">
        <v>7</v>
      </c>
      <c r="F463">
        <v>999</v>
      </c>
      <c r="G463" t="s">
        <v>22</v>
      </c>
      <c r="J463">
        <v>24480515</v>
      </c>
      <c r="K463" t="s">
        <v>52</v>
      </c>
      <c r="L463">
        <v>800252922</v>
      </c>
      <c r="M463" t="s">
        <v>53</v>
      </c>
      <c r="N463">
        <v>200000</v>
      </c>
      <c r="O463">
        <v>0</v>
      </c>
      <c r="P463">
        <v>1000</v>
      </c>
      <c r="Q463" t="s">
        <v>336</v>
      </c>
      <c r="R463" t="s">
        <v>64</v>
      </c>
      <c r="S463">
        <v>2025</v>
      </c>
      <c r="T463">
        <v>15572024</v>
      </c>
      <c r="U463" t="s">
        <v>187</v>
      </c>
    </row>
    <row r="464" spans="1:21" x14ac:dyDescent="0.25">
      <c r="A464" t="s">
        <v>21</v>
      </c>
      <c r="B464">
        <v>4000467</v>
      </c>
      <c r="C464" s="1">
        <v>45989</v>
      </c>
      <c r="D464">
        <v>4</v>
      </c>
      <c r="E464">
        <v>4</v>
      </c>
      <c r="F464">
        <v>999</v>
      </c>
      <c r="G464" t="s">
        <v>22</v>
      </c>
      <c r="J464">
        <v>24480510</v>
      </c>
      <c r="K464" t="s">
        <v>66</v>
      </c>
      <c r="L464">
        <v>800102912</v>
      </c>
      <c r="M464" t="s">
        <v>57</v>
      </c>
      <c r="N464">
        <v>5700000</v>
      </c>
      <c r="O464">
        <v>0</v>
      </c>
      <c r="P464">
        <v>39900</v>
      </c>
      <c r="Q464" t="s">
        <v>493</v>
      </c>
      <c r="R464" t="s">
        <v>59</v>
      </c>
      <c r="S464">
        <v>2025</v>
      </c>
      <c r="T464">
        <v>6549769</v>
      </c>
      <c r="U464" t="s">
        <v>494</v>
      </c>
    </row>
    <row r="465" spans="1:21" x14ac:dyDescent="0.25">
      <c r="A465" t="s">
        <v>21</v>
      </c>
      <c r="B465">
        <v>3000810</v>
      </c>
      <c r="C465" s="1">
        <v>45993</v>
      </c>
      <c r="D465">
        <v>3</v>
      </c>
      <c r="E465">
        <v>3</v>
      </c>
      <c r="F465">
        <v>999</v>
      </c>
      <c r="G465" t="s">
        <v>22</v>
      </c>
      <c r="J465">
        <v>24480505</v>
      </c>
      <c r="K465" t="s">
        <v>82</v>
      </c>
      <c r="L465">
        <v>891200461</v>
      </c>
      <c r="M465" t="s">
        <v>29</v>
      </c>
      <c r="N465">
        <v>10998090.470000001</v>
      </c>
      <c r="O465">
        <v>0</v>
      </c>
      <c r="P465">
        <v>54990</v>
      </c>
      <c r="Q465" t="s">
        <v>223</v>
      </c>
      <c r="R465" t="s">
        <v>151</v>
      </c>
      <c r="S465">
        <v>2025</v>
      </c>
      <c r="T465">
        <v>1085284432</v>
      </c>
      <c r="U465" t="s">
        <v>224</v>
      </c>
    </row>
    <row r="466" spans="1:21" x14ac:dyDescent="0.25">
      <c r="A466" t="s">
        <v>21</v>
      </c>
      <c r="B466">
        <v>1002713</v>
      </c>
      <c r="C466" s="1">
        <v>45993</v>
      </c>
      <c r="D466">
        <v>1</v>
      </c>
      <c r="E466">
        <v>4</v>
      </c>
      <c r="F466">
        <v>999</v>
      </c>
      <c r="G466" t="s">
        <v>22</v>
      </c>
      <c r="J466">
        <v>24480510</v>
      </c>
      <c r="K466" t="s">
        <v>66</v>
      </c>
      <c r="L466">
        <v>800102912</v>
      </c>
      <c r="M466" t="s">
        <v>57</v>
      </c>
      <c r="N466">
        <v>400000</v>
      </c>
      <c r="O466">
        <v>0</v>
      </c>
      <c r="P466">
        <v>2800</v>
      </c>
      <c r="Q466" t="s">
        <v>261</v>
      </c>
      <c r="R466" t="s">
        <v>31</v>
      </c>
      <c r="S466">
        <v>2025</v>
      </c>
      <c r="T466">
        <v>900620983</v>
      </c>
      <c r="U466" t="s">
        <v>68</v>
      </c>
    </row>
    <row r="467" spans="1:21" x14ac:dyDescent="0.25">
      <c r="A467" t="s">
        <v>93</v>
      </c>
      <c r="B467">
        <v>1004980</v>
      </c>
      <c r="C467" s="1">
        <v>45993</v>
      </c>
      <c r="D467">
        <v>1</v>
      </c>
      <c r="E467">
        <v>8</v>
      </c>
      <c r="F467">
        <v>999</v>
      </c>
      <c r="G467" t="s">
        <v>22</v>
      </c>
      <c r="J467">
        <v>24480519</v>
      </c>
      <c r="K467" t="s">
        <v>32</v>
      </c>
      <c r="L467">
        <v>800054249</v>
      </c>
      <c r="M467" t="s">
        <v>33</v>
      </c>
      <c r="N467">
        <v>660000</v>
      </c>
      <c r="O467">
        <v>0</v>
      </c>
      <c r="P467">
        <v>3960</v>
      </c>
      <c r="Q467" t="s">
        <v>285</v>
      </c>
      <c r="R467" t="s">
        <v>31</v>
      </c>
      <c r="S467">
        <v>2025</v>
      </c>
      <c r="T467">
        <v>69055379</v>
      </c>
      <c r="U467" t="s">
        <v>286</v>
      </c>
    </row>
    <row r="468" spans="1:21" x14ac:dyDescent="0.25">
      <c r="A468" t="s">
        <v>21</v>
      </c>
      <c r="B468">
        <v>1002717</v>
      </c>
      <c r="C468" s="1">
        <v>45993</v>
      </c>
      <c r="D468">
        <v>1</v>
      </c>
      <c r="E468">
        <v>4</v>
      </c>
      <c r="F468">
        <v>999</v>
      </c>
      <c r="G468" t="s">
        <v>22</v>
      </c>
      <c r="J468">
        <v>24480510</v>
      </c>
      <c r="K468" t="s">
        <v>66</v>
      </c>
      <c r="L468">
        <v>800102912</v>
      </c>
      <c r="M468" t="s">
        <v>57</v>
      </c>
      <c r="N468">
        <v>501050</v>
      </c>
      <c r="O468">
        <v>0</v>
      </c>
      <c r="P468">
        <v>3507</v>
      </c>
      <c r="Q468" t="s">
        <v>605</v>
      </c>
      <c r="R468" t="s">
        <v>31</v>
      </c>
      <c r="S468">
        <v>2025</v>
      </c>
      <c r="T468">
        <v>900620983</v>
      </c>
      <c r="U468" t="s">
        <v>68</v>
      </c>
    </row>
    <row r="469" spans="1:21" x14ac:dyDescent="0.25">
      <c r="A469" t="s">
        <v>21</v>
      </c>
      <c r="B469">
        <v>6000364</v>
      </c>
      <c r="C469" s="1">
        <v>45993</v>
      </c>
      <c r="D469">
        <v>6</v>
      </c>
      <c r="E469">
        <v>6</v>
      </c>
      <c r="F469">
        <v>999</v>
      </c>
      <c r="G469" t="s">
        <v>22</v>
      </c>
      <c r="J469">
        <v>24480512</v>
      </c>
      <c r="K469" t="s">
        <v>123</v>
      </c>
      <c r="L469">
        <v>891200513</v>
      </c>
      <c r="M469" t="s">
        <v>124</v>
      </c>
      <c r="N469">
        <v>1420200</v>
      </c>
      <c r="O469">
        <v>0</v>
      </c>
      <c r="P469">
        <v>7101</v>
      </c>
      <c r="Q469" t="s">
        <v>660</v>
      </c>
      <c r="R469" t="s">
        <v>126</v>
      </c>
      <c r="S469">
        <v>2025</v>
      </c>
      <c r="T469">
        <v>26636874</v>
      </c>
      <c r="U469" t="s">
        <v>127</v>
      </c>
    </row>
    <row r="470" spans="1:21" x14ac:dyDescent="0.25">
      <c r="A470" t="s">
        <v>21</v>
      </c>
      <c r="B470">
        <v>5000111</v>
      </c>
      <c r="C470" s="1">
        <v>45994</v>
      </c>
      <c r="D470">
        <v>5</v>
      </c>
      <c r="E470">
        <v>5</v>
      </c>
      <c r="F470">
        <v>999</v>
      </c>
      <c r="G470" t="s">
        <v>22</v>
      </c>
      <c r="J470">
        <v>24480508</v>
      </c>
      <c r="K470" t="s">
        <v>23</v>
      </c>
      <c r="L470">
        <v>800102896</v>
      </c>
      <c r="M470" t="s">
        <v>24</v>
      </c>
      <c r="N470">
        <v>2800000</v>
      </c>
      <c r="O470">
        <v>0</v>
      </c>
      <c r="P470">
        <v>28000</v>
      </c>
      <c r="Q470" t="s">
        <v>399</v>
      </c>
      <c r="R470" t="s">
        <v>320</v>
      </c>
      <c r="S470">
        <v>2025</v>
      </c>
      <c r="T470">
        <v>41108005</v>
      </c>
      <c r="U470" t="s">
        <v>400</v>
      </c>
    </row>
    <row r="471" spans="1:21" x14ac:dyDescent="0.25">
      <c r="A471" t="s">
        <v>21</v>
      </c>
      <c r="B471">
        <v>1002787</v>
      </c>
      <c r="C471" s="1">
        <v>46000</v>
      </c>
      <c r="D471">
        <v>1</v>
      </c>
      <c r="E471">
        <v>1</v>
      </c>
      <c r="F471">
        <v>999</v>
      </c>
      <c r="G471" t="s">
        <v>22</v>
      </c>
      <c r="J471">
        <v>24480501</v>
      </c>
      <c r="K471" t="s">
        <v>35</v>
      </c>
      <c r="L471">
        <v>800102891</v>
      </c>
      <c r="M471" t="s">
        <v>36</v>
      </c>
      <c r="N471">
        <v>480000</v>
      </c>
      <c r="O471">
        <v>0</v>
      </c>
      <c r="P471">
        <v>4800</v>
      </c>
      <c r="Q471" t="s">
        <v>62</v>
      </c>
      <c r="R471" t="s">
        <v>31</v>
      </c>
      <c r="S471">
        <v>2025</v>
      </c>
      <c r="T471">
        <v>900437268</v>
      </c>
      <c r="U471" t="s">
        <v>39</v>
      </c>
    </row>
    <row r="472" spans="1:21" x14ac:dyDescent="0.25">
      <c r="A472" t="s">
        <v>21</v>
      </c>
      <c r="B472">
        <v>1002788</v>
      </c>
      <c r="C472" s="1">
        <v>46000</v>
      </c>
      <c r="D472">
        <v>1</v>
      </c>
      <c r="E472">
        <v>2</v>
      </c>
      <c r="F472">
        <v>999</v>
      </c>
      <c r="G472" t="s">
        <v>22</v>
      </c>
      <c r="J472">
        <v>24480518</v>
      </c>
      <c r="K472" t="s">
        <v>75</v>
      </c>
      <c r="L472">
        <v>891201645</v>
      </c>
      <c r="M472" t="s">
        <v>47</v>
      </c>
      <c r="N472">
        <v>270000</v>
      </c>
      <c r="O472">
        <v>0</v>
      </c>
      <c r="P472">
        <v>2700</v>
      </c>
      <c r="Q472" t="s">
        <v>356</v>
      </c>
      <c r="R472" t="s">
        <v>31</v>
      </c>
      <c r="S472">
        <v>2025</v>
      </c>
      <c r="T472">
        <v>900437268</v>
      </c>
      <c r="U472" t="s">
        <v>39</v>
      </c>
    </row>
    <row r="473" spans="1:21" x14ac:dyDescent="0.25">
      <c r="A473" t="s">
        <v>21</v>
      </c>
      <c r="B473">
        <v>1002790</v>
      </c>
      <c r="C473" s="1">
        <v>46000</v>
      </c>
      <c r="D473">
        <v>1</v>
      </c>
      <c r="E473">
        <v>7</v>
      </c>
      <c r="F473">
        <v>999</v>
      </c>
      <c r="G473" t="s">
        <v>22</v>
      </c>
      <c r="J473">
        <v>24480515</v>
      </c>
      <c r="K473" t="s">
        <v>52</v>
      </c>
      <c r="L473">
        <v>800252922</v>
      </c>
      <c r="M473" t="s">
        <v>53</v>
      </c>
      <c r="N473">
        <v>110000</v>
      </c>
      <c r="O473">
        <v>0</v>
      </c>
      <c r="P473">
        <v>880</v>
      </c>
      <c r="Q473" t="s">
        <v>469</v>
      </c>
      <c r="R473" t="s">
        <v>31</v>
      </c>
      <c r="S473">
        <v>2025</v>
      </c>
      <c r="T473">
        <v>900502634</v>
      </c>
      <c r="U473" t="s">
        <v>55</v>
      </c>
    </row>
    <row r="474" spans="1:21" x14ac:dyDescent="0.25">
      <c r="A474" t="s">
        <v>21</v>
      </c>
      <c r="B474">
        <v>1002803</v>
      </c>
      <c r="C474" s="1">
        <v>46001</v>
      </c>
      <c r="D474">
        <v>1</v>
      </c>
      <c r="E474">
        <v>8</v>
      </c>
      <c r="F474">
        <v>999</v>
      </c>
      <c r="G474" t="s">
        <v>22</v>
      </c>
      <c r="J474">
        <v>24480519</v>
      </c>
      <c r="K474" t="s">
        <v>32</v>
      </c>
      <c r="L474">
        <v>800054249</v>
      </c>
      <c r="M474" t="s">
        <v>33</v>
      </c>
      <c r="N474">
        <v>370000</v>
      </c>
      <c r="O474">
        <v>0</v>
      </c>
      <c r="P474">
        <v>1850</v>
      </c>
      <c r="Q474" t="s">
        <v>43</v>
      </c>
      <c r="R474" t="s">
        <v>31</v>
      </c>
      <c r="S474">
        <v>2025</v>
      </c>
      <c r="T474">
        <v>900579315</v>
      </c>
      <c r="U474" t="s">
        <v>44</v>
      </c>
    </row>
    <row r="475" spans="1:21" x14ac:dyDescent="0.25">
      <c r="A475" t="s">
        <v>21</v>
      </c>
      <c r="B475">
        <v>1002798</v>
      </c>
      <c r="C475" s="1">
        <v>46001</v>
      </c>
      <c r="D475">
        <v>1</v>
      </c>
      <c r="E475">
        <v>4</v>
      </c>
      <c r="F475">
        <v>999</v>
      </c>
      <c r="G475" t="s">
        <v>22</v>
      </c>
      <c r="J475">
        <v>24480510</v>
      </c>
      <c r="K475" t="s">
        <v>66</v>
      </c>
      <c r="L475">
        <v>800102912</v>
      </c>
      <c r="M475" t="s">
        <v>57</v>
      </c>
      <c r="N475">
        <v>110000</v>
      </c>
      <c r="O475">
        <v>0</v>
      </c>
      <c r="P475">
        <v>770</v>
      </c>
      <c r="Q475" t="s">
        <v>299</v>
      </c>
      <c r="R475" t="s">
        <v>31</v>
      </c>
      <c r="S475">
        <v>2025</v>
      </c>
      <c r="T475">
        <v>900502634</v>
      </c>
      <c r="U475" t="s">
        <v>55</v>
      </c>
    </row>
    <row r="476" spans="1:21" x14ac:dyDescent="0.25">
      <c r="A476" t="s">
        <v>21</v>
      </c>
      <c r="B476">
        <v>1002792</v>
      </c>
      <c r="C476" s="1">
        <v>46001</v>
      </c>
      <c r="D476">
        <v>1</v>
      </c>
      <c r="E476">
        <v>7</v>
      </c>
      <c r="F476">
        <v>999</v>
      </c>
      <c r="G476" t="s">
        <v>22</v>
      </c>
      <c r="J476">
        <v>24480515</v>
      </c>
      <c r="K476" t="s">
        <v>52</v>
      </c>
      <c r="L476">
        <v>800252922</v>
      </c>
      <c r="M476" t="s">
        <v>53</v>
      </c>
      <c r="N476">
        <v>110000</v>
      </c>
      <c r="O476">
        <v>0</v>
      </c>
      <c r="P476">
        <v>880</v>
      </c>
      <c r="Q476" t="s">
        <v>355</v>
      </c>
      <c r="R476" t="s">
        <v>31</v>
      </c>
      <c r="S476">
        <v>2025</v>
      </c>
      <c r="T476">
        <v>900502634</v>
      </c>
      <c r="U476" t="s">
        <v>55</v>
      </c>
    </row>
    <row r="477" spans="1:21" x14ac:dyDescent="0.25">
      <c r="A477" t="s">
        <v>21</v>
      </c>
      <c r="B477">
        <v>5000115</v>
      </c>
      <c r="C477" s="1">
        <v>46001</v>
      </c>
      <c r="D477">
        <v>5</v>
      </c>
      <c r="E477">
        <v>5</v>
      </c>
      <c r="F477">
        <v>999</v>
      </c>
      <c r="G477" t="s">
        <v>22</v>
      </c>
      <c r="J477">
        <v>24480507</v>
      </c>
      <c r="K477" t="s">
        <v>219</v>
      </c>
      <c r="L477">
        <v>800102896</v>
      </c>
      <c r="M477" t="s">
        <v>24</v>
      </c>
      <c r="N477">
        <v>1375000</v>
      </c>
      <c r="O477">
        <v>0</v>
      </c>
      <c r="P477">
        <v>13750</v>
      </c>
      <c r="Q477" t="s">
        <v>407</v>
      </c>
      <c r="R477" t="s">
        <v>320</v>
      </c>
      <c r="S477">
        <v>2025</v>
      </c>
      <c r="T477">
        <v>1061802875</v>
      </c>
      <c r="U477" t="s">
        <v>408</v>
      </c>
    </row>
    <row r="478" spans="1:21" x14ac:dyDescent="0.25">
      <c r="A478" t="s">
        <v>21</v>
      </c>
      <c r="B478">
        <v>5000115</v>
      </c>
      <c r="C478" s="1">
        <v>46001</v>
      </c>
      <c r="D478">
        <v>5</v>
      </c>
      <c r="E478">
        <v>5</v>
      </c>
      <c r="F478">
        <v>999</v>
      </c>
      <c r="G478" t="s">
        <v>22</v>
      </c>
      <c r="J478">
        <v>24480507</v>
      </c>
      <c r="K478" t="s">
        <v>219</v>
      </c>
      <c r="L478">
        <v>800102896</v>
      </c>
      <c r="M478" t="s">
        <v>24</v>
      </c>
      <c r="N478">
        <v>1375000</v>
      </c>
      <c r="O478">
        <v>0</v>
      </c>
      <c r="P478">
        <v>13750</v>
      </c>
      <c r="Q478" t="s">
        <v>409</v>
      </c>
      <c r="R478" t="s">
        <v>320</v>
      </c>
      <c r="S478">
        <v>2025</v>
      </c>
      <c r="T478">
        <v>1123323004</v>
      </c>
      <c r="U478" t="s">
        <v>410</v>
      </c>
    </row>
    <row r="479" spans="1:21" x14ac:dyDescent="0.25">
      <c r="A479" t="s">
        <v>93</v>
      </c>
      <c r="B479">
        <v>4002665</v>
      </c>
      <c r="C479" s="1">
        <v>46001</v>
      </c>
      <c r="D479">
        <v>4</v>
      </c>
      <c r="E479">
        <v>4</v>
      </c>
      <c r="F479">
        <v>999</v>
      </c>
      <c r="G479" t="s">
        <v>22</v>
      </c>
      <c r="J479">
        <v>24480510</v>
      </c>
      <c r="K479" t="s">
        <v>66</v>
      </c>
      <c r="L479">
        <v>800102912</v>
      </c>
      <c r="M479" t="s">
        <v>57</v>
      </c>
      <c r="N479">
        <v>350000</v>
      </c>
      <c r="O479">
        <v>0</v>
      </c>
      <c r="P479">
        <v>2100</v>
      </c>
      <c r="Q479" t="s">
        <v>421</v>
      </c>
      <c r="R479" t="s">
        <v>59</v>
      </c>
      <c r="S479">
        <v>2025</v>
      </c>
      <c r="T479">
        <v>18153926</v>
      </c>
      <c r="U479" t="s">
        <v>104</v>
      </c>
    </row>
    <row r="480" spans="1:21" x14ac:dyDescent="0.25">
      <c r="A480" t="s">
        <v>21</v>
      </c>
      <c r="B480">
        <v>1002828</v>
      </c>
      <c r="C480" s="1">
        <v>46002</v>
      </c>
      <c r="D480">
        <v>1</v>
      </c>
      <c r="E480">
        <v>3</v>
      </c>
      <c r="F480">
        <v>999</v>
      </c>
      <c r="G480" t="s">
        <v>22</v>
      </c>
      <c r="J480">
        <v>24480506</v>
      </c>
      <c r="K480" t="s">
        <v>28</v>
      </c>
      <c r="L480">
        <v>891200461</v>
      </c>
      <c r="M480" t="s">
        <v>29</v>
      </c>
      <c r="N480">
        <v>700000</v>
      </c>
      <c r="O480">
        <v>0</v>
      </c>
      <c r="P480">
        <v>7000</v>
      </c>
      <c r="Q480" t="s">
        <v>170</v>
      </c>
      <c r="R480" t="s">
        <v>31</v>
      </c>
      <c r="S480">
        <v>2025</v>
      </c>
      <c r="T480">
        <v>19199527</v>
      </c>
      <c r="U480" t="s">
        <v>171</v>
      </c>
    </row>
    <row r="481" spans="1:21" x14ac:dyDescent="0.25">
      <c r="A481" t="s">
        <v>21</v>
      </c>
      <c r="B481">
        <v>1002829</v>
      </c>
      <c r="C481" s="1">
        <v>46002</v>
      </c>
      <c r="D481">
        <v>1</v>
      </c>
      <c r="E481">
        <v>5</v>
      </c>
      <c r="F481">
        <v>999</v>
      </c>
      <c r="G481" t="s">
        <v>22</v>
      </c>
      <c r="J481">
        <v>24480508</v>
      </c>
      <c r="K481" t="s">
        <v>23</v>
      </c>
      <c r="L481">
        <v>800102896</v>
      </c>
      <c r="M481" t="s">
        <v>24</v>
      </c>
      <c r="N481">
        <v>1000000</v>
      </c>
      <c r="O481">
        <v>0</v>
      </c>
      <c r="P481">
        <v>10000</v>
      </c>
      <c r="Q481" t="s">
        <v>504</v>
      </c>
      <c r="R481" t="s">
        <v>31</v>
      </c>
      <c r="S481">
        <v>2025</v>
      </c>
      <c r="T481">
        <v>18144169</v>
      </c>
      <c r="U481" t="s">
        <v>505</v>
      </c>
    </row>
    <row r="482" spans="1:21" x14ac:dyDescent="0.25">
      <c r="A482" t="s">
        <v>21</v>
      </c>
      <c r="B482">
        <v>1002843</v>
      </c>
      <c r="C482" s="1">
        <v>46003</v>
      </c>
      <c r="D482">
        <v>1</v>
      </c>
      <c r="E482">
        <v>1</v>
      </c>
      <c r="F482">
        <v>999</v>
      </c>
      <c r="G482" t="s">
        <v>22</v>
      </c>
      <c r="J482">
        <v>24480501</v>
      </c>
      <c r="K482" t="s">
        <v>35</v>
      </c>
      <c r="L482">
        <v>800102891</v>
      </c>
      <c r="M482" t="s">
        <v>36</v>
      </c>
      <c r="N482">
        <v>0</v>
      </c>
      <c r="O482">
        <v>128276</v>
      </c>
      <c r="P482">
        <v>0</v>
      </c>
      <c r="Q482" t="s">
        <v>117</v>
      </c>
    </row>
    <row r="483" spans="1:21" x14ac:dyDescent="0.25">
      <c r="A483" t="s">
        <v>21</v>
      </c>
      <c r="B483">
        <v>1002837</v>
      </c>
      <c r="C483" s="1">
        <v>46003</v>
      </c>
      <c r="D483">
        <v>1</v>
      </c>
      <c r="E483">
        <v>6</v>
      </c>
      <c r="F483">
        <v>999</v>
      </c>
      <c r="G483" t="s">
        <v>22</v>
      </c>
      <c r="J483">
        <v>24480512</v>
      </c>
      <c r="K483" t="s">
        <v>123</v>
      </c>
      <c r="L483">
        <v>891200513</v>
      </c>
      <c r="M483" t="s">
        <v>124</v>
      </c>
      <c r="N483">
        <v>0</v>
      </c>
      <c r="O483">
        <v>16500</v>
      </c>
      <c r="P483">
        <v>0</v>
      </c>
      <c r="Q483" t="s">
        <v>140</v>
      </c>
    </row>
    <row r="484" spans="1:21" x14ac:dyDescent="0.25">
      <c r="A484" t="s">
        <v>21</v>
      </c>
      <c r="B484">
        <v>1002842</v>
      </c>
      <c r="C484" s="1">
        <v>46003</v>
      </c>
      <c r="D484">
        <v>1</v>
      </c>
      <c r="E484">
        <v>2</v>
      </c>
      <c r="F484">
        <v>999</v>
      </c>
      <c r="G484" t="s">
        <v>22</v>
      </c>
      <c r="J484">
        <v>24480517</v>
      </c>
      <c r="K484" t="s">
        <v>46</v>
      </c>
      <c r="L484">
        <v>891201645</v>
      </c>
      <c r="M484" t="s">
        <v>47</v>
      </c>
      <c r="N484">
        <v>0</v>
      </c>
      <c r="O484">
        <v>6000</v>
      </c>
      <c r="P484">
        <v>0</v>
      </c>
      <c r="Q484" t="s">
        <v>236</v>
      </c>
    </row>
    <row r="485" spans="1:21" x14ac:dyDescent="0.25">
      <c r="A485" t="s">
        <v>21</v>
      </c>
      <c r="B485">
        <v>1002836</v>
      </c>
      <c r="C485" s="1">
        <v>46003</v>
      </c>
      <c r="D485">
        <v>1</v>
      </c>
      <c r="E485">
        <v>7</v>
      </c>
      <c r="F485">
        <v>999</v>
      </c>
      <c r="G485" t="s">
        <v>22</v>
      </c>
      <c r="J485">
        <v>24480515</v>
      </c>
      <c r="K485" t="s">
        <v>52</v>
      </c>
      <c r="L485">
        <v>800252922</v>
      </c>
      <c r="M485" t="s">
        <v>53</v>
      </c>
      <c r="N485">
        <v>0</v>
      </c>
      <c r="O485">
        <v>18956</v>
      </c>
      <c r="P485">
        <v>0</v>
      </c>
      <c r="Q485" t="s">
        <v>279</v>
      </c>
    </row>
    <row r="486" spans="1:21" x14ac:dyDescent="0.25">
      <c r="A486" t="s">
        <v>93</v>
      </c>
      <c r="B486">
        <v>1005108</v>
      </c>
      <c r="C486" s="1">
        <v>46003</v>
      </c>
      <c r="D486">
        <v>1</v>
      </c>
      <c r="E486">
        <v>1</v>
      </c>
      <c r="F486">
        <v>999</v>
      </c>
      <c r="G486" t="s">
        <v>22</v>
      </c>
      <c r="J486">
        <v>24480501</v>
      </c>
      <c r="K486" t="s">
        <v>35</v>
      </c>
      <c r="L486">
        <v>800102891</v>
      </c>
      <c r="M486" t="s">
        <v>36</v>
      </c>
      <c r="N486">
        <v>7250000</v>
      </c>
      <c r="O486">
        <v>0</v>
      </c>
      <c r="P486">
        <v>72500</v>
      </c>
      <c r="Q486" t="s">
        <v>288</v>
      </c>
      <c r="R486" t="s">
        <v>200</v>
      </c>
      <c r="S486">
        <v>2025</v>
      </c>
      <c r="T486">
        <v>5348917</v>
      </c>
      <c r="U486" t="s">
        <v>289</v>
      </c>
    </row>
    <row r="487" spans="1:21" x14ac:dyDescent="0.25">
      <c r="A487" t="s">
        <v>21</v>
      </c>
      <c r="B487">
        <v>1002839</v>
      </c>
      <c r="C487" s="1">
        <v>46003</v>
      </c>
      <c r="D487">
        <v>1</v>
      </c>
      <c r="E487">
        <v>4</v>
      </c>
      <c r="F487">
        <v>999</v>
      </c>
      <c r="G487" t="s">
        <v>22</v>
      </c>
      <c r="J487">
        <v>24480509</v>
      </c>
      <c r="K487" t="s">
        <v>56</v>
      </c>
      <c r="L487">
        <v>800102912</v>
      </c>
      <c r="M487" t="s">
        <v>57</v>
      </c>
      <c r="N487">
        <v>0</v>
      </c>
      <c r="O487">
        <v>15656</v>
      </c>
      <c r="P487">
        <v>0</v>
      </c>
      <c r="Q487" t="s">
        <v>305</v>
      </c>
    </row>
    <row r="488" spans="1:21" x14ac:dyDescent="0.25">
      <c r="A488" t="s">
        <v>21</v>
      </c>
      <c r="B488">
        <v>1002835</v>
      </c>
      <c r="C488" s="1">
        <v>46003</v>
      </c>
      <c r="D488">
        <v>1</v>
      </c>
      <c r="E488">
        <v>8</v>
      </c>
      <c r="F488">
        <v>999</v>
      </c>
      <c r="G488" t="s">
        <v>22</v>
      </c>
      <c r="J488">
        <v>24480519</v>
      </c>
      <c r="K488" t="s">
        <v>32</v>
      </c>
      <c r="L488">
        <v>800054249</v>
      </c>
      <c r="M488" t="s">
        <v>33</v>
      </c>
      <c r="N488">
        <v>0</v>
      </c>
      <c r="O488">
        <v>73147</v>
      </c>
      <c r="P488">
        <v>0</v>
      </c>
      <c r="Q488" t="s">
        <v>318</v>
      </c>
    </row>
    <row r="489" spans="1:21" x14ac:dyDescent="0.25">
      <c r="A489" t="s">
        <v>21</v>
      </c>
      <c r="B489">
        <v>1002839</v>
      </c>
      <c r="C489" s="1">
        <v>46003</v>
      </c>
      <c r="D489">
        <v>1</v>
      </c>
      <c r="E489">
        <v>4</v>
      </c>
      <c r="F489">
        <v>999</v>
      </c>
      <c r="G489" t="s">
        <v>22</v>
      </c>
      <c r="J489">
        <v>24480510</v>
      </c>
      <c r="K489" t="s">
        <v>66</v>
      </c>
      <c r="L489">
        <v>800102912</v>
      </c>
      <c r="M489" t="s">
        <v>57</v>
      </c>
      <c r="N489">
        <v>0</v>
      </c>
      <c r="O489">
        <v>116862</v>
      </c>
      <c r="P489">
        <v>0</v>
      </c>
      <c r="Q489" t="s">
        <v>305</v>
      </c>
    </row>
    <row r="490" spans="1:21" x14ac:dyDescent="0.25">
      <c r="A490" t="s">
        <v>93</v>
      </c>
      <c r="B490">
        <v>1005108</v>
      </c>
      <c r="C490" s="1">
        <v>46003</v>
      </c>
      <c r="D490">
        <v>1</v>
      </c>
      <c r="E490">
        <v>5</v>
      </c>
      <c r="F490">
        <v>999</v>
      </c>
      <c r="G490" t="s">
        <v>22</v>
      </c>
      <c r="J490">
        <v>24480508</v>
      </c>
      <c r="K490" t="s">
        <v>23</v>
      </c>
      <c r="L490">
        <v>800102896</v>
      </c>
      <c r="M490" t="s">
        <v>24</v>
      </c>
      <c r="N490">
        <v>7250000</v>
      </c>
      <c r="O490">
        <v>0</v>
      </c>
      <c r="P490">
        <v>50750</v>
      </c>
      <c r="Q490" t="s">
        <v>288</v>
      </c>
      <c r="R490" t="s">
        <v>200</v>
      </c>
      <c r="S490">
        <v>2025</v>
      </c>
      <c r="T490">
        <v>5348917</v>
      </c>
      <c r="U490" t="s">
        <v>289</v>
      </c>
    </row>
    <row r="491" spans="1:21" x14ac:dyDescent="0.25">
      <c r="A491" t="s">
        <v>21</v>
      </c>
      <c r="B491">
        <v>1002842</v>
      </c>
      <c r="C491" s="1">
        <v>46003</v>
      </c>
      <c r="D491">
        <v>1</v>
      </c>
      <c r="E491">
        <v>2</v>
      </c>
      <c r="F491">
        <v>999</v>
      </c>
      <c r="G491" t="s">
        <v>22</v>
      </c>
      <c r="J491">
        <v>24480518</v>
      </c>
      <c r="K491" t="s">
        <v>75</v>
      </c>
      <c r="L491">
        <v>891201645</v>
      </c>
      <c r="M491" t="s">
        <v>47</v>
      </c>
      <c r="N491">
        <v>0</v>
      </c>
      <c r="O491">
        <v>9100</v>
      </c>
      <c r="P491">
        <v>0</v>
      </c>
      <c r="Q491" t="s">
        <v>236</v>
      </c>
    </row>
    <row r="492" spans="1:21" x14ac:dyDescent="0.25">
      <c r="A492" t="s">
        <v>21</v>
      </c>
      <c r="B492">
        <v>2000514</v>
      </c>
      <c r="C492" s="1">
        <v>46003</v>
      </c>
      <c r="D492">
        <v>2</v>
      </c>
      <c r="E492">
        <v>2</v>
      </c>
      <c r="F492">
        <v>999</v>
      </c>
      <c r="G492" t="s">
        <v>22</v>
      </c>
      <c r="J492">
        <v>24480517</v>
      </c>
      <c r="K492" t="s">
        <v>46</v>
      </c>
      <c r="L492">
        <v>891201645</v>
      </c>
      <c r="M492" t="s">
        <v>47</v>
      </c>
      <c r="N492">
        <v>1375000</v>
      </c>
      <c r="O492">
        <v>0</v>
      </c>
      <c r="P492">
        <v>13750</v>
      </c>
      <c r="Q492" t="s">
        <v>592</v>
      </c>
      <c r="R492" t="s">
        <v>49</v>
      </c>
      <c r="S492">
        <v>2025</v>
      </c>
      <c r="T492">
        <v>97472290</v>
      </c>
      <c r="U492" t="s">
        <v>593</v>
      </c>
    </row>
    <row r="493" spans="1:21" x14ac:dyDescent="0.25">
      <c r="A493" t="s">
        <v>21</v>
      </c>
      <c r="B493">
        <v>6000378</v>
      </c>
      <c r="C493" s="1">
        <v>46003</v>
      </c>
      <c r="D493">
        <v>6</v>
      </c>
      <c r="E493">
        <v>6</v>
      </c>
      <c r="F493">
        <v>999</v>
      </c>
      <c r="G493" t="s">
        <v>22</v>
      </c>
      <c r="J493">
        <v>24480511</v>
      </c>
      <c r="K493" t="s">
        <v>548</v>
      </c>
      <c r="L493">
        <v>891200513</v>
      </c>
      <c r="M493" t="s">
        <v>124</v>
      </c>
      <c r="N493">
        <v>1375000</v>
      </c>
      <c r="O493">
        <v>0</v>
      </c>
      <c r="P493">
        <v>13750</v>
      </c>
      <c r="Q493" t="s">
        <v>624</v>
      </c>
      <c r="R493" t="s">
        <v>126</v>
      </c>
      <c r="S493">
        <v>2025</v>
      </c>
      <c r="T493">
        <v>800153144</v>
      </c>
      <c r="U493" t="s">
        <v>625</v>
      </c>
    </row>
    <row r="494" spans="1:21" x14ac:dyDescent="0.25">
      <c r="A494" t="s">
        <v>21</v>
      </c>
      <c r="B494">
        <v>1002840</v>
      </c>
      <c r="C494" s="1">
        <v>46003</v>
      </c>
      <c r="D494">
        <v>1</v>
      </c>
      <c r="E494">
        <v>3</v>
      </c>
      <c r="F494">
        <v>999</v>
      </c>
      <c r="G494" t="s">
        <v>22</v>
      </c>
      <c r="J494">
        <v>24480506</v>
      </c>
      <c r="K494" t="s">
        <v>28</v>
      </c>
      <c r="L494">
        <v>891200461</v>
      </c>
      <c r="M494" t="s">
        <v>29</v>
      </c>
      <c r="N494">
        <v>0</v>
      </c>
      <c r="O494">
        <v>31500</v>
      </c>
      <c r="P494">
        <v>0</v>
      </c>
      <c r="Q494" t="s">
        <v>644</v>
      </c>
    </row>
    <row r="495" spans="1:21" x14ac:dyDescent="0.25">
      <c r="A495" t="s">
        <v>93</v>
      </c>
      <c r="B495">
        <v>1005108</v>
      </c>
      <c r="C495" s="1">
        <v>46003</v>
      </c>
      <c r="D495">
        <v>1</v>
      </c>
      <c r="E495">
        <v>2</v>
      </c>
      <c r="F495">
        <v>999</v>
      </c>
      <c r="G495" t="s">
        <v>22</v>
      </c>
      <c r="J495">
        <v>24480514</v>
      </c>
      <c r="K495" t="s">
        <v>191</v>
      </c>
      <c r="L495">
        <v>891201645</v>
      </c>
      <c r="M495" t="s">
        <v>47</v>
      </c>
      <c r="N495">
        <v>7250000</v>
      </c>
      <c r="O495">
        <v>0</v>
      </c>
      <c r="P495">
        <v>72500</v>
      </c>
      <c r="Q495" t="s">
        <v>288</v>
      </c>
      <c r="R495" t="s">
        <v>200</v>
      </c>
      <c r="S495">
        <v>2025</v>
      </c>
      <c r="T495">
        <v>5348917</v>
      </c>
      <c r="U495" t="s">
        <v>289</v>
      </c>
    </row>
    <row r="496" spans="1:21" x14ac:dyDescent="0.25">
      <c r="A496" t="s">
        <v>93</v>
      </c>
      <c r="B496">
        <v>1005108</v>
      </c>
      <c r="C496" s="1">
        <v>46003</v>
      </c>
      <c r="D496">
        <v>1</v>
      </c>
      <c r="E496">
        <v>3</v>
      </c>
      <c r="F496">
        <v>999</v>
      </c>
      <c r="G496" t="s">
        <v>22</v>
      </c>
      <c r="J496">
        <v>24480506</v>
      </c>
      <c r="K496" t="s">
        <v>28</v>
      </c>
      <c r="L496">
        <v>891200461</v>
      </c>
      <c r="M496" t="s">
        <v>29</v>
      </c>
      <c r="N496">
        <v>7250000</v>
      </c>
      <c r="O496">
        <v>0</v>
      </c>
      <c r="P496">
        <v>72500</v>
      </c>
      <c r="Q496" t="s">
        <v>288</v>
      </c>
      <c r="R496" t="s">
        <v>200</v>
      </c>
      <c r="S496">
        <v>2025</v>
      </c>
      <c r="T496">
        <v>5348917</v>
      </c>
      <c r="U496" t="s">
        <v>289</v>
      </c>
    </row>
    <row r="497" spans="1:21" x14ac:dyDescent="0.25">
      <c r="A497" t="s">
        <v>21</v>
      </c>
      <c r="B497">
        <v>1002849</v>
      </c>
      <c r="C497" s="1">
        <v>46006</v>
      </c>
      <c r="D497">
        <v>1</v>
      </c>
      <c r="E497">
        <v>1</v>
      </c>
      <c r="F497">
        <v>999</v>
      </c>
      <c r="G497" t="s">
        <v>22</v>
      </c>
      <c r="J497">
        <v>24480501</v>
      </c>
      <c r="K497" t="s">
        <v>35</v>
      </c>
      <c r="L497">
        <v>800102891</v>
      </c>
      <c r="M497" t="s">
        <v>36</v>
      </c>
      <c r="N497">
        <v>5671000</v>
      </c>
      <c r="O497">
        <v>0</v>
      </c>
      <c r="P497">
        <v>56710</v>
      </c>
      <c r="Q497" t="s">
        <v>661</v>
      </c>
      <c r="R497" t="s">
        <v>200</v>
      </c>
      <c r="S497">
        <v>2025</v>
      </c>
      <c r="T497">
        <v>900774181</v>
      </c>
      <c r="U497" t="s">
        <v>136</v>
      </c>
    </row>
    <row r="498" spans="1:21" x14ac:dyDescent="0.25">
      <c r="A498" t="s">
        <v>21</v>
      </c>
      <c r="B498">
        <v>4000500</v>
      </c>
      <c r="C498" s="1">
        <v>46007</v>
      </c>
      <c r="D498">
        <v>4</v>
      </c>
      <c r="E498">
        <v>4</v>
      </c>
      <c r="F498">
        <v>999</v>
      </c>
      <c r="G498" t="s">
        <v>22</v>
      </c>
      <c r="J498">
        <v>24480510</v>
      </c>
      <c r="K498" t="s">
        <v>66</v>
      </c>
      <c r="L498">
        <v>800102912</v>
      </c>
      <c r="M498" t="s">
        <v>57</v>
      </c>
      <c r="N498">
        <v>1840000</v>
      </c>
      <c r="O498">
        <v>0</v>
      </c>
      <c r="P498">
        <v>8280</v>
      </c>
      <c r="Q498" t="s">
        <v>306</v>
      </c>
      <c r="R498" t="s">
        <v>59</v>
      </c>
      <c r="S498">
        <v>2025</v>
      </c>
      <c r="T498">
        <v>66808199</v>
      </c>
      <c r="U498" t="s">
        <v>166</v>
      </c>
    </row>
    <row r="499" spans="1:21" x14ac:dyDescent="0.25">
      <c r="A499" t="s">
        <v>21</v>
      </c>
      <c r="B499">
        <v>3000850</v>
      </c>
      <c r="C499" s="1">
        <v>46007</v>
      </c>
      <c r="D499">
        <v>3</v>
      </c>
      <c r="E499">
        <v>3</v>
      </c>
      <c r="F499">
        <v>999</v>
      </c>
      <c r="G499" t="s">
        <v>22</v>
      </c>
      <c r="J499">
        <v>24480505</v>
      </c>
      <c r="K499" t="s">
        <v>82</v>
      </c>
      <c r="L499">
        <v>891200461</v>
      </c>
      <c r="M499" t="s">
        <v>29</v>
      </c>
      <c r="N499">
        <v>1310857</v>
      </c>
      <c r="O499">
        <v>0</v>
      </c>
      <c r="P499">
        <v>6554</v>
      </c>
      <c r="Q499" t="s">
        <v>450</v>
      </c>
      <c r="R499" t="s">
        <v>151</v>
      </c>
      <c r="S499">
        <v>2025</v>
      </c>
      <c r="T499">
        <v>1123304764</v>
      </c>
      <c r="U499" t="s">
        <v>451</v>
      </c>
    </row>
    <row r="500" spans="1:21" x14ac:dyDescent="0.25">
      <c r="A500" t="s">
        <v>21</v>
      </c>
      <c r="B500">
        <v>2000518</v>
      </c>
      <c r="C500" s="1">
        <v>46007</v>
      </c>
      <c r="D500">
        <v>2</v>
      </c>
      <c r="E500">
        <v>2</v>
      </c>
      <c r="F500">
        <v>999</v>
      </c>
      <c r="G500" t="s">
        <v>22</v>
      </c>
      <c r="J500">
        <v>24480517</v>
      </c>
      <c r="K500" t="s">
        <v>46</v>
      </c>
      <c r="L500">
        <v>891201645</v>
      </c>
      <c r="M500" t="s">
        <v>47</v>
      </c>
      <c r="N500">
        <v>5940000</v>
      </c>
      <c r="O500">
        <v>0</v>
      </c>
      <c r="P500">
        <v>59400</v>
      </c>
      <c r="Q500" t="s">
        <v>456</v>
      </c>
      <c r="R500" t="s">
        <v>49</v>
      </c>
      <c r="S500">
        <v>2025</v>
      </c>
      <c r="T500">
        <v>1122786617</v>
      </c>
      <c r="U500" t="s">
        <v>457</v>
      </c>
    </row>
    <row r="501" spans="1:21" x14ac:dyDescent="0.25">
      <c r="A501" t="s">
        <v>21</v>
      </c>
      <c r="B501">
        <v>1002873</v>
      </c>
      <c r="C501" s="1">
        <v>46007</v>
      </c>
      <c r="D501">
        <v>1</v>
      </c>
      <c r="E501">
        <v>1</v>
      </c>
      <c r="F501">
        <v>999</v>
      </c>
      <c r="G501" t="s">
        <v>22</v>
      </c>
      <c r="J501">
        <v>24480501</v>
      </c>
      <c r="K501" t="s">
        <v>35</v>
      </c>
      <c r="L501">
        <v>800102891</v>
      </c>
      <c r="M501" t="s">
        <v>36</v>
      </c>
      <c r="N501">
        <v>593000</v>
      </c>
      <c r="O501">
        <v>0</v>
      </c>
      <c r="P501">
        <v>5930</v>
      </c>
      <c r="Q501" t="s">
        <v>491</v>
      </c>
      <c r="R501" t="s">
        <v>31</v>
      </c>
      <c r="S501">
        <v>2025</v>
      </c>
      <c r="T501">
        <v>1124850571</v>
      </c>
      <c r="U501" t="s">
        <v>492</v>
      </c>
    </row>
    <row r="502" spans="1:21" x14ac:dyDescent="0.25">
      <c r="A502" t="s">
        <v>21</v>
      </c>
      <c r="B502">
        <v>6000386</v>
      </c>
      <c r="C502" s="1">
        <v>46007</v>
      </c>
      <c r="D502">
        <v>6</v>
      </c>
      <c r="E502">
        <v>6</v>
      </c>
      <c r="F502">
        <v>999</v>
      </c>
      <c r="G502" t="s">
        <v>22</v>
      </c>
      <c r="J502">
        <v>24480511</v>
      </c>
      <c r="K502" t="s">
        <v>548</v>
      </c>
      <c r="L502">
        <v>891200513</v>
      </c>
      <c r="M502" t="s">
        <v>124</v>
      </c>
      <c r="N502">
        <v>4860000</v>
      </c>
      <c r="O502">
        <v>0</v>
      </c>
      <c r="P502">
        <v>24300</v>
      </c>
      <c r="Q502" t="s">
        <v>627</v>
      </c>
      <c r="R502" t="s">
        <v>126</v>
      </c>
      <c r="S502">
        <v>2025</v>
      </c>
      <c r="T502">
        <v>1006514270</v>
      </c>
      <c r="U502" t="s">
        <v>628</v>
      </c>
    </row>
    <row r="503" spans="1:21" x14ac:dyDescent="0.25">
      <c r="A503" t="s">
        <v>21</v>
      </c>
      <c r="B503">
        <v>7000203</v>
      </c>
      <c r="C503" s="1">
        <v>46008</v>
      </c>
      <c r="D503">
        <v>7</v>
      </c>
      <c r="E503">
        <v>7</v>
      </c>
      <c r="F503">
        <v>999</v>
      </c>
      <c r="G503" t="s">
        <v>22</v>
      </c>
      <c r="J503">
        <v>24480516</v>
      </c>
      <c r="K503" t="s">
        <v>79</v>
      </c>
      <c r="L503">
        <v>800252922</v>
      </c>
      <c r="M503" t="s">
        <v>53</v>
      </c>
      <c r="N503">
        <v>700000</v>
      </c>
      <c r="O503">
        <v>0</v>
      </c>
      <c r="P503">
        <v>3500</v>
      </c>
      <c r="Q503" t="s">
        <v>80</v>
      </c>
      <c r="R503" t="s">
        <v>64</v>
      </c>
      <c r="S503">
        <v>2025</v>
      </c>
      <c r="T503">
        <v>41116311</v>
      </c>
      <c r="U503" t="s">
        <v>81</v>
      </c>
    </row>
    <row r="504" spans="1:21" x14ac:dyDescent="0.25">
      <c r="A504" t="s">
        <v>21</v>
      </c>
      <c r="B504">
        <v>2000520</v>
      </c>
      <c r="C504" s="1">
        <v>46008</v>
      </c>
      <c r="D504">
        <v>2</v>
      </c>
      <c r="E504">
        <v>2</v>
      </c>
      <c r="F504">
        <v>999</v>
      </c>
      <c r="G504" t="s">
        <v>22</v>
      </c>
      <c r="J504">
        <v>24480517</v>
      </c>
      <c r="K504" t="s">
        <v>46</v>
      </c>
      <c r="L504">
        <v>891201645</v>
      </c>
      <c r="M504" t="s">
        <v>47</v>
      </c>
      <c r="N504">
        <v>1155490</v>
      </c>
      <c r="O504">
        <v>0</v>
      </c>
      <c r="P504">
        <v>11554</v>
      </c>
      <c r="Q504" t="s">
        <v>180</v>
      </c>
      <c r="R504" t="s">
        <v>49</v>
      </c>
      <c r="S504">
        <v>2025</v>
      </c>
      <c r="T504">
        <v>1122785377</v>
      </c>
      <c r="U504" t="s">
        <v>181</v>
      </c>
    </row>
    <row r="505" spans="1:21" x14ac:dyDescent="0.25">
      <c r="A505" t="s">
        <v>21</v>
      </c>
      <c r="B505">
        <v>4000502</v>
      </c>
      <c r="C505" s="1">
        <v>46008</v>
      </c>
      <c r="D505">
        <v>4</v>
      </c>
      <c r="E505">
        <v>4</v>
      </c>
      <c r="F505">
        <v>999</v>
      </c>
      <c r="G505" t="s">
        <v>22</v>
      </c>
      <c r="J505">
        <v>24480510</v>
      </c>
      <c r="K505" t="s">
        <v>66</v>
      </c>
      <c r="L505">
        <v>800102912</v>
      </c>
      <c r="M505" t="s">
        <v>57</v>
      </c>
      <c r="N505">
        <v>1800000</v>
      </c>
      <c r="O505">
        <v>0</v>
      </c>
      <c r="P505">
        <v>12600</v>
      </c>
      <c r="Q505" t="s">
        <v>229</v>
      </c>
      <c r="R505" t="s">
        <v>59</v>
      </c>
      <c r="S505">
        <v>2025</v>
      </c>
      <c r="T505">
        <v>93400947</v>
      </c>
      <c r="U505" t="s">
        <v>230</v>
      </c>
    </row>
    <row r="506" spans="1:21" x14ac:dyDescent="0.25">
      <c r="A506" t="s">
        <v>21</v>
      </c>
      <c r="B506">
        <v>1002885</v>
      </c>
      <c r="C506" s="1">
        <v>46008</v>
      </c>
      <c r="D506">
        <v>1</v>
      </c>
      <c r="E506">
        <v>8</v>
      </c>
      <c r="F506">
        <v>999</v>
      </c>
      <c r="G506" t="s">
        <v>22</v>
      </c>
      <c r="J506">
        <v>24480519</v>
      </c>
      <c r="K506" t="s">
        <v>32</v>
      </c>
      <c r="L506">
        <v>800054249</v>
      </c>
      <c r="M506" t="s">
        <v>33</v>
      </c>
      <c r="N506">
        <v>10839498</v>
      </c>
      <c r="O506">
        <v>0</v>
      </c>
      <c r="P506">
        <v>54197</v>
      </c>
      <c r="Q506" t="s">
        <v>266</v>
      </c>
      <c r="R506" t="s">
        <v>31</v>
      </c>
      <c r="S506">
        <v>2025</v>
      </c>
      <c r="T506">
        <v>900579315</v>
      </c>
      <c r="U506" t="s">
        <v>44</v>
      </c>
    </row>
    <row r="507" spans="1:21" x14ac:dyDescent="0.25">
      <c r="A507" t="s">
        <v>21</v>
      </c>
      <c r="B507">
        <v>7000203</v>
      </c>
      <c r="C507" s="1">
        <v>46008</v>
      </c>
      <c r="D507">
        <v>7</v>
      </c>
      <c r="E507">
        <v>7</v>
      </c>
      <c r="F507">
        <v>999</v>
      </c>
      <c r="G507" t="s">
        <v>22</v>
      </c>
      <c r="J507">
        <v>24480515</v>
      </c>
      <c r="K507" t="s">
        <v>52</v>
      </c>
      <c r="L507">
        <v>800252922</v>
      </c>
      <c r="M507" t="s">
        <v>53</v>
      </c>
      <c r="N507">
        <v>113000</v>
      </c>
      <c r="O507">
        <v>0</v>
      </c>
      <c r="P507">
        <v>678</v>
      </c>
      <c r="Q507" t="s">
        <v>281</v>
      </c>
      <c r="R507" t="s">
        <v>64</v>
      </c>
      <c r="S507">
        <v>2025</v>
      </c>
      <c r="T507">
        <v>79842226</v>
      </c>
      <c r="U507" t="s">
        <v>134</v>
      </c>
    </row>
    <row r="508" spans="1:21" x14ac:dyDescent="0.25">
      <c r="A508" t="s">
        <v>21</v>
      </c>
      <c r="B508">
        <v>7000204</v>
      </c>
      <c r="C508" s="1">
        <v>46008</v>
      </c>
      <c r="D508">
        <v>7</v>
      </c>
      <c r="E508">
        <v>7</v>
      </c>
      <c r="F508">
        <v>999</v>
      </c>
      <c r="G508" t="s">
        <v>22</v>
      </c>
      <c r="J508">
        <v>24480516</v>
      </c>
      <c r="K508" t="s">
        <v>79</v>
      </c>
      <c r="L508">
        <v>800252922</v>
      </c>
      <c r="M508" t="s">
        <v>53</v>
      </c>
      <c r="N508">
        <v>757998</v>
      </c>
      <c r="O508">
        <v>0</v>
      </c>
      <c r="P508">
        <v>3790</v>
      </c>
      <c r="Q508" t="s">
        <v>300</v>
      </c>
      <c r="R508" t="s">
        <v>64</v>
      </c>
      <c r="S508">
        <v>2025</v>
      </c>
      <c r="T508">
        <v>59832054</v>
      </c>
      <c r="U508" t="s">
        <v>301</v>
      </c>
    </row>
    <row r="509" spans="1:21" x14ac:dyDescent="0.25">
      <c r="A509" t="s">
        <v>21</v>
      </c>
      <c r="B509">
        <v>1002882</v>
      </c>
      <c r="C509" s="1">
        <v>46008</v>
      </c>
      <c r="D509">
        <v>1</v>
      </c>
      <c r="E509">
        <v>1</v>
      </c>
      <c r="F509">
        <v>999</v>
      </c>
      <c r="G509" t="s">
        <v>22</v>
      </c>
      <c r="J509">
        <v>24480501</v>
      </c>
      <c r="K509" t="s">
        <v>35</v>
      </c>
      <c r="L509">
        <v>800102891</v>
      </c>
      <c r="M509" t="s">
        <v>36</v>
      </c>
      <c r="N509">
        <v>4054000</v>
      </c>
      <c r="O509">
        <v>0</v>
      </c>
      <c r="P509">
        <v>40540</v>
      </c>
      <c r="Q509" t="s">
        <v>506</v>
      </c>
      <c r="R509" t="s">
        <v>31</v>
      </c>
      <c r="S509">
        <v>2025</v>
      </c>
      <c r="T509">
        <v>1124848865</v>
      </c>
      <c r="U509" t="s">
        <v>507</v>
      </c>
    </row>
    <row r="510" spans="1:21" x14ac:dyDescent="0.25">
      <c r="A510" t="s">
        <v>21</v>
      </c>
      <c r="B510">
        <v>1002890</v>
      </c>
      <c r="C510" s="1">
        <v>46009</v>
      </c>
      <c r="D510">
        <v>1</v>
      </c>
      <c r="E510">
        <v>7</v>
      </c>
      <c r="F510">
        <v>999</v>
      </c>
      <c r="G510" t="s">
        <v>22</v>
      </c>
      <c r="J510">
        <v>24480515</v>
      </c>
      <c r="K510" t="s">
        <v>52</v>
      </c>
      <c r="L510">
        <v>800252922</v>
      </c>
      <c r="M510" t="s">
        <v>53</v>
      </c>
      <c r="N510">
        <v>440000</v>
      </c>
      <c r="O510">
        <v>0</v>
      </c>
      <c r="P510">
        <v>3520</v>
      </c>
      <c r="Q510" t="s">
        <v>153</v>
      </c>
      <c r="R510" t="s">
        <v>31</v>
      </c>
      <c r="S510">
        <v>2025</v>
      </c>
      <c r="T510">
        <v>18126313</v>
      </c>
      <c r="U510" t="s">
        <v>154</v>
      </c>
    </row>
    <row r="511" spans="1:21" x14ac:dyDescent="0.25">
      <c r="A511" t="s">
        <v>21</v>
      </c>
      <c r="B511">
        <v>1002887</v>
      </c>
      <c r="C511" s="1">
        <v>46009</v>
      </c>
      <c r="D511">
        <v>1</v>
      </c>
      <c r="E511">
        <v>7</v>
      </c>
      <c r="F511">
        <v>999</v>
      </c>
      <c r="G511" t="s">
        <v>22</v>
      </c>
      <c r="J511">
        <v>24480515</v>
      </c>
      <c r="K511" t="s">
        <v>52</v>
      </c>
      <c r="L511">
        <v>800252922</v>
      </c>
      <c r="M511" t="s">
        <v>53</v>
      </c>
      <c r="N511">
        <v>400000</v>
      </c>
      <c r="O511">
        <v>0</v>
      </c>
      <c r="P511">
        <v>3200</v>
      </c>
      <c r="Q511" t="s">
        <v>635</v>
      </c>
      <c r="R511" t="s">
        <v>31</v>
      </c>
      <c r="S511">
        <v>2025</v>
      </c>
      <c r="T511">
        <v>900620983</v>
      </c>
      <c r="U511" t="s">
        <v>68</v>
      </c>
    </row>
    <row r="512" spans="1:21" x14ac:dyDescent="0.25">
      <c r="A512" t="s">
        <v>21</v>
      </c>
      <c r="B512">
        <v>2000524</v>
      </c>
      <c r="C512" s="1">
        <v>46010</v>
      </c>
      <c r="D512">
        <v>2</v>
      </c>
      <c r="E512">
        <v>2</v>
      </c>
      <c r="F512">
        <v>999</v>
      </c>
      <c r="G512" t="s">
        <v>22</v>
      </c>
      <c r="J512">
        <v>24480518</v>
      </c>
      <c r="K512" t="s">
        <v>75</v>
      </c>
      <c r="L512">
        <v>891201645</v>
      </c>
      <c r="M512" t="s">
        <v>47</v>
      </c>
      <c r="N512">
        <v>1200000</v>
      </c>
      <c r="O512">
        <v>0</v>
      </c>
      <c r="P512">
        <v>12000</v>
      </c>
      <c r="Q512" t="s">
        <v>76</v>
      </c>
      <c r="R512" t="s">
        <v>49</v>
      </c>
      <c r="S512">
        <v>2025</v>
      </c>
      <c r="T512">
        <v>41145258</v>
      </c>
      <c r="U512" t="s">
        <v>77</v>
      </c>
    </row>
    <row r="513" spans="1:21" x14ac:dyDescent="0.25">
      <c r="A513" t="s">
        <v>21</v>
      </c>
      <c r="B513">
        <v>7000207</v>
      </c>
      <c r="C513" s="1">
        <v>46010</v>
      </c>
      <c r="D513">
        <v>7</v>
      </c>
      <c r="E513">
        <v>7</v>
      </c>
      <c r="F513">
        <v>999</v>
      </c>
      <c r="G513" t="s">
        <v>22</v>
      </c>
      <c r="J513">
        <v>24480515</v>
      </c>
      <c r="K513" t="s">
        <v>52</v>
      </c>
      <c r="L513">
        <v>800252922</v>
      </c>
      <c r="M513" t="s">
        <v>53</v>
      </c>
      <c r="N513">
        <v>200000</v>
      </c>
      <c r="O513">
        <v>0</v>
      </c>
      <c r="P513">
        <v>1000</v>
      </c>
      <c r="Q513" t="s">
        <v>186</v>
      </c>
      <c r="R513" t="s">
        <v>64</v>
      </c>
      <c r="S513">
        <v>2025</v>
      </c>
      <c r="T513">
        <v>15572024</v>
      </c>
      <c r="U513" t="s">
        <v>187</v>
      </c>
    </row>
    <row r="514" spans="1:21" x14ac:dyDescent="0.25">
      <c r="A514" t="s">
        <v>21</v>
      </c>
      <c r="B514">
        <v>7000210</v>
      </c>
      <c r="C514" s="1">
        <v>46013</v>
      </c>
      <c r="D514">
        <v>7</v>
      </c>
      <c r="E514">
        <v>7</v>
      </c>
      <c r="F514">
        <v>999</v>
      </c>
      <c r="G514" t="s">
        <v>22</v>
      </c>
      <c r="J514">
        <v>24480516</v>
      </c>
      <c r="K514" t="s">
        <v>79</v>
      </c>
      <c r="L514">
        <v>800252922</v>
      </c>
      <c r="M514" t="s">
        <v>53</v>
      </c>
      <c r="N514">
        <v>4047368</v>
      </c>
      <c r="O514">
        <v>0</v>
      </c>
      <c r="P514">
        <v>20237</v>
      </c>
      <c r="Q514" t="s">
        <v>316</v>
      </c>
      <c r="R514" t="s">
        <v>64</v>
      </c>
      <c r="S514">
        <v>2025</v>
      </c>
      <c r="T514">
        <v>41117737</v>
      </c>
      <c r="U514" t="s">
        <v>317</v>
      </c>
    </row>
    <row r="515" spans="1:21" x14ac:dyDescent="0.25">
      <c r="A515" t="s">
        <v>21</v>
      </c>
      <c r="B515">
        <v>4000508</v>
      </c>
      <c r="C515" s="1">
        <v>46013</v>
      </c>
      <c r="D515">
        <v>4</v>
      </c>
      <c r="E515">
        <v>4</v>
      </c>
      <c r="F515">
        <v>999</v>
      </c>
      <c r="G515" t="s">
        <v>22</v>
      </c>
      <c r="J515">
        <v>24480509</v>
      </c>
      <c r="K515" t="s">
        <v>56</v>
      </c>
      <c r="L515">
        <v>800102912</v>
      </c>
      <c r="M515" t="s">
        <v>57</v>
      </c>
      <c r="N515">
        <v>1329952</v>
      </c>
      <c r="O515">
        <v>0</v>
      </c>
      <c r="P515">
        <v>4655</v>
      </c>
      <c r="Q515" t="s">
        <v>436</v>
      </c>
      <c r="R515" t="s">
        <v>59</v>
      </c>
      <c r="S515">
        <v>2025</v>
      </c>
      <c r="T515">
        <v>1126452881</v>
      </c>
      <c r="U515" t="s">
        <v>437</v>
      </c>
    </row>
    <row r="516" spans="1:21" x14ac:dyDescent="0.25">
      <c r="A516" t="s">
        <v>21</v>
      </c>
      <c r="B516">
        <v>4000506</v>
      </c>
      <c r="C516" s="1">
        <v>46013</v>
      </c>
      <c r="D516">
        <v>4</v>
      </c>
      <c r="E516">
        <v>4</v>
      </c>
      <c r="F516">
        <v>999</v>
      </c>
      <c r="G516" t="s">
        <v>22</v>
      </c>
      <c r="J516">
        <v>24480509</v>
      </c>
      <c r="K516" t="s">
        <v>56</v>
      </c>
      <c r="L516">
        <v>800102912</v>
      </c>
      <c r="M516" t="s">
        <v>57</v>
      </c>
      <c r="N516">
        <v>8456699</v>
      </c>
      <c r="O516">
        <v>0</v>
      </c>
      <c r="P516">
        <v>25370</v>
      </c>
      <c r="Q516" t="s">
        <v>480</v>
      </c>
      <c r="R516" t="s">
        <v>59</v>
      </c>
      <c r="S516">
        <v>2025</v>
      </c>
      <c r="T516">
        <v>12982322</v>
      </c>
      <c r="U516" t="s">
        <v>60</v>
      </c>
    </row>
    <row r="517" spans="1:21" x14ac:dyDescent="0.25">
      <c r="A517" t="s">
        <v>21</v>
      </c>
      <c r="B517">
        <v>1002919</v>
      </c>
      <c r="C517" s="1">
        <v>46013</v>
      </c>
      <c r="D517">
        <v>1</v>
      </c>
      <c r="E517">
        <v>1</v>
      </c>
      <c r="F517">
        <v>999</v>
      </c>
      <c r="G517" t="s">
        <v>22</v>
      </c>
      <c r="J517">
        <v>24480501</v>
      </c>
      <c r="K517" t="s">
        <v>35</v>
      </c>
      <c r="L517">
        <v>800102891</v>
      </c>
      <c r="M517" t="s">
        <v>36</v>
      </c>
      <c r="N517">
        <v>6594803</v>
      </c>
      <c r="O517">
        <v>0</v>
      </c>
      <c r="P517">
        <v>65948</v>
      </c>
      <c r="Q517" t="s">
        <v>574</v>
      </c>
      <c r="R517" t="s">
        <v>31</v>
      </c>
      <c r="S517">
        <v>2025</v>
      </c>
      <c r="T517">
        <v>18145427</v>
      </c>
      <c r="U517" t="s">
        <v>70</v>
      </c>
    </row>
    <row r="518" spans="1:21" x14ac:dyDescent="0.25">
      <c r="A518" t="s">
        <v>21</v>
      </c>
      <c r="B518">
        <v>4000507</v>
      </c>
      <c r="C518" s="1">
        <v>46013</v>
      </c>
      <c r="D518">
        <v>4</v>
      </c>
      <c r="E518">
        <v>4</v>
      </c>
      <c r="F518">
        <v>999</v>
      </c>
      <c r="G518" t="s">
        <v>22</v>
      </c>
      <c r="J518">
        <v>24480509</v>
      </c>
      <c r="K518" t="s">
        <v>56</v>
      </c>
      <c r="L518">
        <v>800102912</v>
      </c>
      <c r="M518" t="s">
        <v>57</v>
      </c>
      <c r="N518">
        <v>1147059</v>
      </c>
      <c r="O518">
        <v>0</v>
      </c>
      <c r="P518">
        <v>3441</v>
      </c>
      <c r="Q518" t="s">
        <v>614</v>
      </c>
      <c r="R518" t="s">
        <v>59</v>
      </c>
      <c r="S518">
        <v>2025</v>
      </c>
      <c r="T518">
        <v>12982322</v>
      </c>
      <c r="U518" t="s">
        <v>60</v>
      </c>
    </row>
    <row r="519" spans="1:21" x14ac:dyDescent="0.25">
      <c r="A519" t="s">
        <v>21</v>
      </c>
      <c r="B519">
        <v>5000118</v>
      </c>
      <c r="C519" s="1">
        <v>46015</v>
      </c>
      <c r="D519">
        <v>5</v>
      </c>
      <c r="E519">
        <v>5</v>
      </c>
      <c r="F519">
        <v>999</v>
      </c>
      <c r="G519" t="s">
        <v>22</v>
      </c>
      <c r="J519">
        <v>24480508</v>
      </c>
      <c r="K519" t="s">
        <v>23</v>
      </c>
      <c r="L519">
        <v>800102896</v>
      </c>
      <c r="M519" t="s">
        <v>24</v>
      </c>
      <c r="N519">
        <v>300000</v>
      </c>
      <c r="O519">
        <v>0</v>
      </c>
      <c r="P519">
        <v>3000</v>
      </c>
      <c r="Q519" t="s">
        <v>434</v>
      </c>
      <c r="R519" t="s">
        <v>320</v>
      </c>
      <c r="S519">
        <v>2025</v>
      </c>
      <c r="T519">
        <v>1123328208</v>
      </c>
      <c r="U519" t="s">
        <v>435</v>
      </c>
    </row>
    <row r="520" spans="1:21" x14ac:dyDescent="0.25">
      <c r="A520" t="s">
        <v>21</v>
      </c>
      <c r="B520">
        <v>5000118</v>
      </c>
      <c r="C520" s="1">
        <v>46015</v>
      </c>
      <c r="D520">
        <v>5</v>
      </c>
      <c r="E520">
        <v>5</v>
      </c>
      <c r="F520">
        <v>999</v>
      </c>
      <c r="G520" t="s">
        <v>22</v>
      </c>
      <c r="J520">
        <v>24480508</v>
      </c>
      <c r="K520" t="s">
        <v>23</v>
      </c>
      <c r="L520">
        <v>800102896</v>
      </c>
      <c r="M520" t="s">
        <v>24</v>
      </c>
      <c r="N520">
        <v>1600000</v>
      </c>
      <c r="O520">
        <v>0</v>
      </c>
      <c r="P520">
        <v>16000</v>
      </c>
      <c r="Q520" t="s">
        <v>434</v>
      </c>
      <c r="R520" t="s">
        <v>320</v>
      </c>
      <c r="S520">
        <v>2025</v>
      </c>
      <c r="T520">
        <v>41103795</v>
      </c>
      <c r="U520" t="s">
        <v>636</v>
      </c>
    </row>
    <row r="521" spans="1:21" x14ac:dyDescent="0.25">
      <c r="A521" t="s">
        <v>21</v>
      </c>
      <c r="B521">
        <v>7000216</v>
      </c>
      <c r="C521" s="1">
        <v>46017</v>
      </c>
      <c r="D521">
        <v>7</v>
      </c>
      <c r="E521">
        <v>7</v>
      </c>
      <c r="F521">
        <v>999</v>
      </c>
      <c r="G521" t="s">
        <v>22</v>
      </c>
      <c r="J521">
        <v>24480515</v>
      </c>
      <c r="K521" t="s">
        <v>52</v>
      </c>
      <c r="L521">
        <v>800252922</v>
      </c>
      <c r="M521" t="s">
        <v>53</v>
      </c>
      <c r="N521">
        <v>166000</v>
      </c>
      <c r="O521">
        <v>0</v>
      </c>
      <c r="P521">
        <v>996</v>
      </c>
      <c r="Q521" t="s">
        <v>63</v>
      </c>
      <c r="R521" t="s">
        <v>64</v>
      </c>
      <c r="S521">
        <v>2025</v>
      </c>
      <c r="T521">
        <v>1126453263</v>
      </c>
      <c r="U521" t="s">
        <v>65</v>
      </c>
    </row>
    <row r="522" spans="1:21" x14ac:dyDescent="0.25">
      <c r="A522" t="s">
        <v>21</v>
      </c>
      <c r="B522">
        <v>3000875</v>
      </c>
      <c r="C522" s="1">
        <v>46017</v>
      </c>
      <c r="D522">
        <v>3</v>
      </c>
      <c r="E522">
        <v>3</v>
      </c>
      <c r="F522">
        <v>999</v>
      </c>
      <c r="G522" t="s">
        <v>22</v>
      </c>
      <c r="J522">
        <v>24480505</v>
      </c>
      <c r="K522" t="s">
        <v>82</v>
      </c>
      <c r="L522">
        <v>891200461</v>
      </c>
      <c r="M522" t="s">
        <v>29</v>
      </c>
      <c r="N522">
        <v>1050000</v>
      </c>
      <c r="O522">
        <v>0</v>
      </c>
      <c r="P522">
        <v>10500</v>
      </c>
      <c r="Q522" t="s">
        <v>150</v>
      </c>
      <c r="R522" t="s">
        <v>151</v>
      </c>
      <c r="S522">
        <v>2025</v>
      </c>
      <c r="T522">
        <v>1123207144</v>
      </c>
      <c r="U522" t="s">
        <v>152</v>
      </c>
    </row>
    <row r="523" spans="1:21" x14ac:dyDescent="0.25">
      <c r="A523" t="s">
        <v>21</v>
      </c>
      <c r="B523">
        <v>1002951</v>
      </c>
      <c r="C523" s="1">
        <v>46017</v>
      </c>
      <c r="D523">
        <v>1</v>
      </c>
      <c r="E523">
        <v>1</v>
      </c>
      <c r="F523">
        <v>999</v>
      </c>
      <c r="G523" t="s">
        <v>22</v>
      </c>
      <c r="J523">
        <v>24480501</v>
      </c>
      <c r="K523" t="s">
        <v>35</v>
      </c>
      <c r="L523">
        <v>800102891</v>
      </c>
      <c r="M523" t="s">
        <v>36</v>
      </c>
      <c r="N523">
        <v>1324000</v>
      </c>
      <c r="O523">
        <v>0</v>
      </c>
      <c r="P523">
        <v>13240</v>
      </c>
      <c r="Q523" t="s">
        <v>167</v>
      </c>
      <c r="R523" t="s">
        <v>168</v>
      </c>
      <c r="S523">
        <v>2025</v>
      </c>
      <c r="T523">
        <v>1126003236</v>
      </c>
      <c r="U523" t="s">
        <v>169</v>
      </c>
    </row>
    <row r="524" spans="1:21" x14ac:dyDescent="0.25">
      <c r="A524" t="s">
        <v>21</v>
      </c>
      <c r="B524">
        <v>1002954</v>
      </c>
      <c r="C524" s="1">
        <v>46017</v>
      </c>
      <c r="D524">
        <v>1</v>
      </c>
      <c r="E524">
        <v>8</v>
      </c>
      <c r="F524">
        <v>999</v>
      </c>
      <c r="G524" t="s">
        <v>22</v>
      </c>
      <c r="J524">
        <v>24480519</v>
      </c>
      <c r="K524" t="s">
        <v>32</v>
      </c>
      <c r="L524">
        <v>800054249</v>
      </c>
      <c r="M524" t="s">
        <v>33</v>
      </c>
      <c r="N524">
        <v>900000</v>
      </c>
      <c r="O524">
        <v>0</v>
      </c>
      <c r="P524">
        <v>5400</v>
      </c>
      <c r="Q524" t="s">
        <v>530</v>
      </c>
      <c r="R524" t="s">
        <v>31</v>
      </c>
      <c r="S524">
        <v>2025</v>
      </c>
      <c r="T524">
        <v>1127070897</v>
      </c>
      <c r="U524" t="s">
        <v>531</v>
      </c>
    </row>
    <row r="525" spans="1:21" x14ac:dyDescent="0.25">
      <c r="A525" t="s">
        <v>21</v>
      </c>
      <c r="B525">
        <v>3000881</v>
      </c>
      <c r="C525" s="1">
        <v>46020</v>
      </c>
      <c r="D525">
        <v>3</v>
      </c>
      <c r="E525">
        <v>3</v>
      </c>
      <c r="F525">
        <v>999</v>
      </c>
      <c r="G525" t="s">
        <v>22</v>
      </c>
      <c r="J525">
        <v>24480506</v>
      </c>
      <c r="K525" t="s">
        <v>28</v>
      </c>
      <c r="L525">
        <v>891200461</v>
      </c>
      <c r="M525" t="s">
        <v>29</v>
      </c>
      <c r="N525">
        <v>444444</v>
      </c>
      <c r="O525">
        <v>0</v>
      </c>
      <c r="P525">
        <v>4444</v>
      </c>
      <c r="Q525" t="s">
        <v>162</v>
      </c>
      <c r="R525" t="s">
        <v>151</v>
      </c>
      <c r="S525">
        <v>2025</v>
      </c>
      <c r="T525">
        <v>41103850</v>
      </c>
      <c r="U525" t="s">
        <v>163</v>
      </c>
    </row>
    <row r="526" spans="1:21" x14ac:dyDescent="0.25">
      <c r="A526" t="s">
        <v>21</v>
      </c>
      <c r="B526">
        <v>1002958</v>
      </c>
      <c r="C526" s="1">
        <v>46020</v>
      </c>
      <c r="D526">
        <v>1</v>
      </c>
      <c r="E526">
        <v>4</v>
      </c>
      <c r="F526">
        <v>999</v>
      </c>
      <c r="G526" t="s">
        <v>22</v>
      </c>
      <c r="J526">
        <v>24480510</v>
      </c>
      <c r="K526" t="s">
        <v>66</v>
      </c>
      <c r="L526">
        <v>800102912</v>
      </c>
      <c r="M526" t="s">
        <v>57</v>
      </c>
      <c r="N526">
        <v>1400000</v>
      </c>
      <c r="O526">
        <v>0</v>
      </c>
      <c r="P526">
        <v>9800</v>
      </c>
      <c r="Q526" t="s">
        <v>172</v>
      </c>
      <c r="R526" t="s">
        <v>31</v>
      </c>
      <c r="S526">
        <v>2025</v>
      </c>
      <c r="T526">
        <v>41181655</v>
      </c>
      <c r="U526" t="s">
        <v>173</v>
      </c>
    </row>
    <row r="527" spans="1:21" x14ac:dyDescent="0.25">
      <c r="A527" t="s">
        <v>93</v>
      </c>
      <c r="B527">
        <v>1005356</v>
      </c>
      <c r="C527" s="1">
        <v>46020</v>
      </c>
      <c r="D527">
        <v>1</v>
      </c>
      <c r="E527">
        <v>1</v>
      </c>
      <c r="F527">
        <v>999</v>
      </c>
      <c r="G527" t="s">
        <v>22</v>
      </c>
      <c r="J527">
        <v>24480501</v>
      </c>
      <c r="K527" t="s">
        <v>35</v>
      </c>
      <c r="L527">
        <v>800102891</v>
      </c>
      <c r="M527" t="s">
        <v>36</v>
      </c>
      <c r="N527">
        <v>2142985</v>
      </c>
      <c r="O527">
        <v>0</v>
      </c>
      <c r="P527">
        <v>21430</v>
      </c>
      <c r="Q527" t="s">
        <v>277</v>
      </c>
      <c r="R527" t="s">
        <v>31</v>
      </c>
      <c r="S527">
        <v>2025</v>
      </c>
      <c r="T527">
        <v>18127828</v>
      </c>
      <c r="U527" t="s">
        <v>205</v>
      </c>
    </row>
    <row r="528" spans="1:21" x14ac:dyDescent="0.25">
      <c r="A528" t="s">
        <v>21</v>
      </c>
      <c r="B528">
        <v>1002963</v>
      </c>
      <c r="C528" s="1">
        <v>46020</v>
      </c>
      <c r="D528">
        <v>1</v>
      </c>
      <c r="E528">
        <v>8</v>
      </c>
      <c r="F528">
        <v>999</v>
      </c>
      <c r="G528" t="s">
        <v>22</v>
      </c>
      <c r="J528">
        <v>24480520</v>
      </c>
      <c r="K528" t="s">
        <v>258</v>
      </c>
      <c r="L528">
        <v>800054249</v>
      </c>
      <c r="M528" t="s">
        <v>33</v>
      </c>
      <c r="N528">
        <v>1325238</v>
      </c>
      <c r="O528">
        <v>0</v>
      </c>
      <c r="P528">
        <v>9277</v>
      </c>
      <c r="Q528" t="s">
        <v>308</v>
      </c>
      <c r="R528" t="s">
        <v>31</v>
      </c>
      <c r="S528">
        <v>2025</v>
      </c>
      <c r="T528">
        <v>18103669</v>
      </c>
      <c r="U528" t="s">
        <v>309</v>
      </c>
    </row>
    <row r="529" spans="1:21" x14ac:dyDescent="0.25">
      <c r="A529" t="s">
        <v>21</v>
      </c>
      <c r="B529">
        <v>1002963</v>
      </c>
      <c r="C529" s="1">
        <v>46020</v>
      </c>
      <c r="D529">
        <v>1</v>
      </c>
      <c r="E529">
        <v>8</v>
      </c>
      <c r="F529">
        <v>999</v>
      </c>
      <c r="G529" t="s">
        <v>22</v>
      </c>
      <c r="J529">
        <v>24480520</v>
      </c>
      <c r="K529" t="s">
        <v>258</v>
      </c>
      <c r="L529">
        <v>800054249</v>
      </c>
      <c r="M529" t="s">
        <v>33</v>
      </c>
      <c r="N529">
        <v>1134454</v>
      </c>
      <c r="O529">
        <v>0</v>
      </c>
      <c r="P529">
        <v>7941</v>
      </c>
      <c r="Q529" t="s">
        <v>308</v>
      </c>
      <c r="R529" t="s">
        <v>31</v>
      </c>
      <c r="S529">
        <v>2025</v>
      </c>
      <c r="T529">
        <v>10189014</v>
      </c>
      <c r="U529" t="s">
        <v>357</v>
      </c>
    </row>
    <row r="530" spans="1:21" x14ac:dyDescent="0.25">
      <c r="A530" t="s">
        <v>21</v>
      </c>
      <c r="B530">
        <v>1002958</v>
      </c>
      <c r="C530" s="1">
        <v>46020</v>
      </c>
      <c r="D530">
        <v>1</v>
      </c>
      <c r="E530">
        <v>7</v>
      </c>
      <c r="F530">
        <v>999</v>
      </c>
      <c r="G530" t="s">
        <v>22</v>
      </c>
      <c r="J530">
        <v>24480515</v>
      </c>
      <c r="K530" t="s">
        <v>52</v>
      </c>
      <c r="L530">
        <v>800252922</v>
      </c>
      <c r="M530" t="s">
        <v>53</v>
      </c>
      <c r="N530">
        <v>0</v>
      </c>
      <c r="O530">
        <v>0</v>
      </c>
      <c r="P530">
        <v>8000</v>
      </c>
      <c r="Q530" t="s">
        <v>172</v>
      </c>
      <c r="R530" t="s">
        <v>31</v>
      </c>
      <c r="S530">
        <v>2025</v>
      </c>
      <c r="T530">
        <v>41181655</v>
      </c>
      <c r="U530" t="s">
        <v>173</v>
      </c>
    </row>
    <row r="531" spans="1:21" x14ac:dyDescent="0.25">
      <c r="A531" t="s">
        <v>21</v>
      </c>
      <c r="B531">
        <v>2000530</v>
      </c>
      <c r="C531" s="1">
        <v>46020</v>
      </c>
      <c r="D531">
        <v>2</v>
      </c>
      <c r="E531">
        <v>2</v>
      </c>
      <c r="F531">
        <v>999</v>
      </c>
      <c r="G531" t="s">
        <v>22</v>
      </c>
      <c r="J531">
        <v>24480517</v>
      </c>
      <c r="K531" t="s">
        <v>46</v>
      </c>
      <c r="L531">
        <v>891201645</v>
      </c>
      <c r="M531" t="s">
        <v>47</v>
      </c>
      <c r="N531">
        <v>360000</v>
      </c>
      <c r="O531">
        <v>0</v>
      </c>
      <c r="P531">
        <v>3600</v>
      </c>
      <c r="Q531" t="s">
        <v>590</v>
      </c>
      <c r="R531" t="s">
        <v>49</v>
      </c>
      <c r="S531">
        <v>2025</v>
      </c>
      <c r="T531">
        <v>53051826</v>
      </c>
      <c r="U531" t="s">
        <v>591</v>
      </c>
    </row>
    <row r="532" spans="1:21" x14ac:dyDescent="0.25">
      <c r="A532" t="s">
        <v>21</v>
      </c>
      <c r="B532">
        <v>1002957</v>
      </c>
      <c r="C532" s="1">
        <v>46020</v>
      </c>
      <c r="D532">
        <v>1</v>
      </c>
      <c r="E532">
        <v>2</v>
      </c>
      <c r="F532">
        <v>999</v>
      </c>
      <c r="G532" t="s">
        <v>22</v>
      </c>
      <c r="J532">
        <v>24480518</v>
      </c>
      <c r="K532" t="s">
        <v>75</v>
      </c>
      <c r="L532">
        <v>891201645</v>
      </c>
      <c r="M532" t="s">
        <v>47</v>
      </c>
      <c r="N532">
        <v>795000</v>
      </c>
      <c r="O532">
        <v>0</v>
      </c>
      <c r="P532">
        <v>7950</v>
      </c>
      <c r="Q532" t="s">
        <v>618</v>
      </c>
      <c r="R532" t="s">
        <v>31</v>
      </c>
      <c r="S532">
        <v>2025</v>
      </c>
      <c r="T532">
        <v>900219717</v>
      </c>
      <c r="U532" t="s">
        <v>254</v>
      </c>
    </row>
    <row r="533" spans="1:21" x14ac:dyDescent="0.25">
      <c r="A533" t="s">
        <v>21</v>
      </c>
      <c r="B533">
        <v>1002963</v>
      </c>
      <c r="C533" s="1">
        <v>46020</v>
      </c>
      <c r="D533">
        <v>1</v>
      </c>
      <c r="E533">
        <v>8</v>
      </c>
      <c r="F533">
        <v>999</v>
      </c>
      <c r="G533" t="s">
        <v>22</v>
      </c>
      <c r="J533">
        <v>24480520</v>
      </c>
      <c r="K533" t="s">
        <v>258</v>
      </c>
      <c r="L533">
        <v>800054249</v>
      </c>
      <c r="M533" t="s">
        <v>33</v>
      </c>
      <c r="N533">
        <v>3780000</v>
      </c>
      <c r="O533">
        <v>0</v>
      </c>
      <c r="P533">
        <v>26460</v>
      </c>
      <c r="Q533" t="s">
        <v>308</v>
      </c>
      <c r="R533" t="s">
        <v>31</v>
      </c>
      <c r="S533">
        <v>2025</v>
      </c>
      <c r="T533">
        <v>27474915</v>
      </c>
      <c r="U533" t="s">
        <v>623</v>
      </c>
    </row>
    <row r="534" spans="1:21" x14ac:dyDescent="0.25">
      <c r="A534" t="s">
        <v>21</v>
      </c>
      <c r="B534">
        <v>1002975</v>
      </c>
      <c r="C534" s="1">
        <v>46021</v>
      </c>
      <c r="D534">
        <v>1</v>
      </c>
      <c r="E534">
        <v>1</v>
      </c>
      <c r="F534">
        <v>999</v>
      </c>
      <c r="G534" t="s">
        <v>22</v>
      </c>
      <c r="J534">
        <v>24480502</v>
      </c>
      <c r="K534" t="s">
        <v>106</v>
      </c>
      <c r="L534">
        <v>800102891</v>
      </c>
      <c r="M534" t="s">
        <v>36</v>
      </c>
      <c r="N534">
        <v>3711600</v>
      </c>
      <c r="O534">
        <v>0</v>
      </c>
      <c r="P534">
        <v>22270</v>
      </c>
      <c r="Q534" t="s">
        <v>131</v>
      </c>
      <c r="R534" t="s">
        <v>31</v>
      </c>
      <c r="S534">
        <v>2025</v>
      </c>
      <c r="T534">
        <v>1006663258</v>
      </c>
      <c r="U534" t="s">
        <v>132</v>
      </c>
    </row>
    <row r="535" spans="1:21" x14ac:dyDescent="0.25">
      <c r="A535" t="s">
        <v>21</v>
      </c>
      <c r="B535">
        <v>7000219</v>
      </c>
      <c r="C535" s="1">
        <v>46021</v>
      </c>
      <c r="D535">
        <v>7</v>
      </c>
      <c r="E535">
        <v>7</v>
      </c>
      <c r="F535">
        <v>999</v>
      </c>
      <c r="G535" t="s">
        <v>22</v>
      </c>
      <c r="J535">
        <v>24480515</v>
      </c>
      <c r="K535" t="s">
        <v>52</v>
      </c>
      <c r="L535">
        <v>800252922</v>
      </c>
      <c r="M535" t="s">
        <v>53</v>
      </c>
      <c r="N535">
        <v>780000</v>
      </c>
      <c r="O535">
        <v>0</v>
      </c>
      <c r="P535">
        <v>4680</v>
      </c>
      <c r="Q535" t="s">
        <v>133</v>
      </c>
      <c r="R535" t="s">
        <v>64</v>
      </c>
      <c r="S535">
        <v>2025</v>
      </c>
      <c r="T535">
        <v>79842226</v>
      </c>
      <c r="U535" t="s">
        <v>134</v>
      </c>
    </row>
    <row r="536" spans="1:21" x14ac:dyDescent="0.25">
      <c r="A536" t="s">
        <v>21</v>
      </c>
      <c r="B536">
        <v>1003033</v>
      </c>
      <c r="C536" s="1">
        <v>46021</v>
      </c>
      <c r="D536">
        <v>1</v>
      </c>
      <c r="E536">
        <v>1</v>
      </c>
      <c r="F536">
        <v>999</v>
      </c>
      <c r="G536" t="s">
        <v>22</v>
      </c>
      <c r="J536">
        <v>24480519</v>
      </c>
      <c r="K536" t="s">
        <v>32</v>
      </c>
      <c r="L536">
        <v>800054249</v>
      </c>
      <c r="M536" t="s">
        <v>33</v>
      </c>
      <c r="N536">
        <v>-150000</v>
      </c>
      <c r="O536">
        <v>900</v>
      </c>
      <c r="P536">
        <v>0</v>
      </c>
      <c r="Q536" t="s">
        <v>310</v>
      </c>
      <c r="R536" t="s">
        <v>311</v>
      </c>
      <c r="S536">
        <v>2025</v>
      </c>
      <c r="T536">
        <v>800054249</v>
      </c>
      <c r="U536" t="s">
        <v>33</v>
      </c>
    </row>
    <row r="537" spans="1:21" x14ac:dyDescent="0.25">
      <c r="A537" t="s">
        <v>21</v>
      </c>
      <c r="B537">
        <v>2000535</v>
      </c>
      <c r="C537" s="1">
        <v>46021</v>
      </c>
      <c r="D537">
        <v>2</v>
      </c>
      <c r="E537">
        <v>2</v>
      </c>
      <c r="F537">
        <v>999</v>
      </c>
      <c r="G537" t="s">
        <v>22</v>
      </c>
      <c r="J537">
        <v>24480518</v>
      </c>
      <c r="K537" t="s">
        <v>75</v>
      </c>
      <c r="L537">
        <v>891201645</v>
      </c>
      <c r="M537" t="s">
        <v>47</v>
      </c>
      <c r="N537">
        <v>140000</v>
      </c>
      <c r="O537">
        <v>0</v>
      </c>
      <c r="P537">
        <v>1400</v>
      </c>
      <c r="Q537" t="s">
        <v>328</v>
      </c>
      <c r="R537" t="s">
        <v>49</v>
      </c>
      <c r="S537">
        <v>2025</v>
      </c>
      <c r="T537">
        <v>97471547</v>
      </c>
      <c r="U537" t="s">
        <v>235</v>
      </c>
    </row>
    <row r="538" spans="1:21" x14ac:dyDescent="0.25">
      <c r="A538" t="s">
        <v>21</v>
      </c>
      <c r="B538">
        <v>5000123</v>
      </c>
      <c r="C538" s="1">
        <v>46021</v>
      </c>
      <c r="D538">
        <v>5</v>
      </c>
      <c r="E538">
        <v>5</v>
      </c>
      <c r="F538">
        <v>999</v>
      </c>
      <c r="G538" t="s">
        <v>22</v>
      </c>
      <c r="J538">
        <v>24480507</v>
      </c>
      <c r="K538" t="s">
        <v>219</v>
      </c>
      <c r="L538">
        <v>800102896</v>
      </c>
      <c r="M538" t="s">
        <v>24</v>
      </c>
      <c r="N538">
        <v>6039539</v>
      </c>
      <c r="O538">
        <v>0</v>
      </c>
      <c r="P538">
        <v>60395</v>
      </c>
      <c r="Q538" t="s">
        <v>332</v>
      </c>
      <c r="R538" t="s">
        <v>320</v>
      </c>
      <c r="S538">
        <v>2025</v>
      </c>
      <c r="T538">
        <v>18144083</v>
      </c>
      <c r="U538" t="s">
        <v>333</v>
      </c>
    </row>
    <row r="539" spans="1:21" x14ac:dyDescent="0.25">
      <c r="A539" t="s">
        <v>21</v>
      </c>
      <c r="B539">
        <v>1002977</v>
      </c>
      <c r="C539" s="1">
        <v>46021</v>
      </c>
      <c r="D539">
        <v>1</v>
      </c>
      <c r="E539">
        <v>1</v>
      </c>
      <c r="F539">
        <v>999</v>
      </c>
      <c r="G539" t="s">
        <v>22</v>
      </c>
      <c r="J539">
        <v>24480502</v>
      </c>
      <c r="K539" t="s">
        <v>106</v>
      </c>
      <c r="L539">
        <v>800102891</v>
      </c>
      <c r="M539" t="s">
        <v>36</v>
      </c>
      <c r="N539">
        <v>517000</v>
      </c>
      <c r="O539">
        <v>0</v>
      </c>
      <c r="P539">
        <v>3102</v>
      </c>
      <c r="Q539" t="s">
        <v>458</v>
      </c>
      <c r="R539" t="s">
        <v>168</v>
      </c>
      <c r="S539">
        <v>2025</v>
      </c>
      <c r="T539">
        <v>69007663</v>
      </c>
      <c r="U539" t="s">
        <v>459</v>
      </c>
    </row>
    <row r="540" spans="1:21" x14ac:dyDescent="0.25">
      <c r="A540" t="s">
        <v>21</v>
      </c>
      <c r="B540">
        <v>1002977</v>
      </c>
      <c r="C540" s="1">
        <v>46021</v>
      </c>
      <c r="D540">
        <v>1</v>
      </c>
      <c r="E540">
        <v>1</v>
      </c>
      <c r="F540">
        <v>999</v>
      </c>
      <c r="G540" t="s">
        <v>22</v>
      </c>
      <c r="J540">
        <v>24480502</v>
      </c>
      <c r="K540" t="s">
        <v>106</v>
      </c>
      <c r="L540">
        <v>800102891</v>
      </c>
      <c r="M540" t="s">
        <v>36</v>
      </c>
      <c r="N540">
        <v>696000</v>
      </c>
      <c r="O540">
        <v>0</v>
      </c>
      <c r="P540">
        <v>4176</v>
      </c>
      <c r="Q540" t="s">
        <v>458</v>
      </c>
      <c r="R540" t="s">
        <v>168</v>
      </c>
      <c r="S540">
        <v>2025</v>
      </c>
      <c r="T540">
        <v>17655791</v>
      </c>
      <c r="U540" t="s">
        <v>487</v>
      </c>
    </row>
    <row r="541" spans="1:21" x14ac:dyDescent="0.25">
      <c r="A541" t="s">
        <v>21</v>
      </c>
      <c r="B541">
        <v>1002977</v>
      </c>
      <c r="C541" s="1">
        <v>46021</v>
      </c>
      <c r="D541">
        <v>1</v>
      </c>
      <c r="E541">
        <v>1</v>
      </c>
      <c r="F541">
        <v>999</v>
      </c>
      <c r="G541" t="s">
        <v>22</v>
      </c>
      <c r="J541">
        <v>24480502</v>
      </c>
      <c r="K541" t="s">
        <v>106</v>
      </c>
      <c r="L541">
        <v>800102891</v>
      </c>
      <c r="M541" t="s">
        <v>36</v>
      </c>
      <c r="N541">
        <v>1820350</v>
      </c>
      <c r="O541">
        <v>0</v>
      </c>
      <c r="P541">
        <v>10922</v>
      </c>
      <c r="Q541" t="s">
        <v>458</v>
      </c>
      <c r="R541" t="s">
        <v>168</v>
      </c>
      <c r="S541">
        <v>2025</v>
      </c>
      <c r="T541">
        <v>87680094</v>
      </c>
      <c r="U541" t="s">
        <v>595</v>
      </c>
    </row>
  </sheetData>
  <autoFilter ref="A1:U1" xr:uid="{9CE85EE2-202C-452A-BC22-40411560EF4B}">
    <sortState xmlns:xlrd2="http://schemas.microsoft.com/office/spreadsheetml/2017/richdata2" ref="A2:U541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5761-0954-47B1-80C0-B0CA3720DD5F}">
  <dimension ref="A2:H47"/>
  <sheetViews>
    <sheetView workbookViewId="0">
      <selection activeCell="D7" sqref="D7"/>
    </sheetView>
  </sheetViews>
  <sheetFormatPr baseColWidth="10" defaultRowHeight="15" x14ac:dyDescent="0.25"/>
  <cols>
    <col min="1" max="1" width="17.5703125" bestFit="1" customWidth="1"/>
    <col min="2" max="2" width="17.7109375" bestFit="1" customWidth="1"/>
    <col min="4" max="4" width="49.85546875" bestFit="1" customWidth="1"/>
    <col min="5" max="8" width="14.28515625" style="2" customWidth="1"/>
  </cols>
  <sheetData>
    <row r="2" spans="1:8" x14ac:dyDescent="0.25">
      <c r="E2" s="7" t="s">
        <v>1052</v>
      </c>
      <c r="F2" s="7"/>
      <c r="G2" s="7" t="s">
        <v>929</v>
      </c>
      <c r="H2" s="7"/>
    </row>
    <row r="3" spans="1:8" x14ac:dyDescent="0.25">
      <c r="A3" s="3" t="s">
        <v>679</v>
      </c>
      <c r="B3" t="s">
        <v>681</v>
      </c>
      <c r="E3" s="2" t="s">
        <v>1053</v>
      </c>
      <c r="F3" s="2" t="s">
        <v>1054</v>
      </c>
      <c r="G3" s="2" t="s">
        <v>1053</v>
      </c>
      <c r="H3" s="2" t="s">
        <v>1054</v>
      </c>
    </row>
    <row r="4" spans="1:8" x14ac:dyDescent="0.25">
      <c r="A4" s="4">
        <v>5348917</v>
      </c>
      <c r="B4" s="5">
        <v>72500</v>
      </c>
      <c r="C4">
        <f>+A4</f>
        <v>5348917</v>
      </c>
      <c r="D4" t="str">
        <f>+VLOOKUP(C4,mocoa!T:U,2,0)</f>
        <v>PARDO VALENCIA CARLOS HERNANDO</v>
      </c>
      <c r="E4" s="2">
        <f>+SUMIFS(mocoa!N:N,mocoa!K:K,MOCOAA!$E$2,mocoa!T:T,MOCOAA!C4)</f>
        <v>0</v>
      </c>
      <c r="F4" s="2">
        <f>+SUMIFS(mocoa!P:P,mocoa!K:K,MOCOAA!$E$2,mocoa!T:T,MOCOAA!C4)</f>
        <v>0</v>
      </c>
      <c r="G4" s="2">
        <f>+SUMIFS(mocoa!N:N,mocoa!K:K,MOCOAA!$G$2,mocoa!T:T,MOCOAA!C4)</f>
        <v>7250000</v>
      </c>
      <c r="H4" s="2">
        <f>+SUMIFS(mocoa!P:P,mocoa!K:K,MOCOAA!$G$2,mocoa!T:T,MOCOAA!C4)</f>
        <v>72500</v>
      </c>
    </row>
    <row r="5" spans="1:8" x14ac:dyDescent="0.25">
      <c r="A5" s="4">
        <v>12997019</v>
      </c>
      <c r="B5" s="5">
        <v>20000</v>
      </c>
      <c r="C5">
        <f t="shared" ref="C5:C47" si="0">+A5</f>
        <v>12997019</v>
      </c>
      <c r="D5" t="str">
        <f>+VLOOKUP(C5,mocoa!T:U,2,0)</f>
        <v>PATIÑO ALPALA LUIS CAMILO</v>
      </c>
      <c r="E5" s="2">
        <f>+SUMIFS(mocoa!N:N,mocoa!K:K,MOCOAA!$E$2,mocoa!T:T,MOCOAA!C5)</f>
        <v>0</v>
      </c>
      <c r="F5" s="2">
        <f>+SUMIFS(mocoa!P:P,mocoa!K:K,MOCOAA!$E$2,mocoa!T:T,MOCOAA!C5)</f>
        <v>0</v>
      </c>
      <c r="G5" s="2">
        <f>+SUMIFS(mocoa!N:N,mocoa!K:K,MOCOAA!$G$2,mocoa!T:T,MOCOAA!C5)</f>
        <v>2000000</v>
      </c>
      <c r="H5" s="2">
        <f>+SUMIFS(mocoa!P:P,mocoa!K:K,MOCOAA!$G$2,mocoa!T:T,MOCOAA!C5)</f>
        <v>20000</v>
      </c>
    </row>
    <row r="6" spans="1:8" x14ac:dyDescent="0.25">
      <c r="A6" s="4">
        <v>17655791</v>
      </c>
      <c r="B6" s="5">
        <v>4176</v>
      </c>
      <c r="C6">
        <f t="shared" si="0"/>
        <v>17655791</v>
      </c>
      <c r="D6" t="str">
        <f>+VLOOKUP(C6,mocoa!T:U,2,0)</f>
        <v>REINOSO CASTILLO WILLYE JAVIER</v>
      </c>
      <c r="E6" s="2">
        <f>+SUMIFS(mocoa!N:N,mocoa!K:K,MOCOAA!$E$2,mocoa!T:T,MOCOAA!C6)</f>
        <v>696000</v>
      </c>
      <c r="F6" s="2">
        <f>+SUMIFS(mocoa!P:P,mocoa!K:K,MOCOAA!$E$2,mocoa!T:T,MOCOAA!C6)</f>
        <v>4176</v>
      </c>
      <c r="G6" s="2">
        <f>+SUMIFS(mocoa!N:N,mocoa!K:K,MOCOAA!$G$2,mocoa!T:T,MOCOAA!C6)</f>
        <v>0</v>
      </c>
      <c r="H6" s="2">
        <f>+SUMIFS(mocoa!P:P,mocoa!K:K,MOCOAA!$G$2,mocoa!T:T,MOCOAA!C6)</f>
        <v>0</v>
      </c>
    </row>
    <row r="7" spans="1:8" x14ac:dyDescent="0.25">
      <c r="A7" s="4">
        <v>18125023</v>
      </c>
      <c r="B7" s="5">
        <v>8011</v>
      </c>
      <c r="C7">
        <f t="shared" si="0"/>
        <v>18125023</v>
      </c>
      <c r="D7" t="str">
        <f>+VLOOKUP(C7,mocoa!T:U,2,0)</f>
        <v>ERAZO ACOSTA LUIS ALEJANDRO</v>
      </c>
      <c r="E7" s="2">
        <f>+SUMIFS(mocoa!N:N,mocoa!K:K,MOCOAA!$E$2,mocoa!T:T,MOCOAA!C7)</f>
        <v>1335231</v>
      </c>
      <c r="F7" s="2">
        <f>+SUMIFS(mocoa!P:P,mocoa!K:K,MOCOAA!$E$2,mocoa!T:T,MOCOAA!C7)</f>
        <v>8011</v>
      </c>
      <c r="G7" s="2">
        <f>+SUMIFS(mocoa!N:N,mocoa!K:K,MOCOAA!$G$2,mocoa!T:T,MOCOAA!C7)</f>
        <v>0</v>
      </c>
      <c r="H7" s="2">
        <f>+SUMIFS(mocoa!P:P,mocoa!K:K,MOCOAA!$G$2,mocoa!T:T,MOCOAA!C7)</f>
        <v>0</v>
      </c>
    </row>
    <row r="8" spans="1:8" x14ac:dyDescent="0.25">
      <c r="A8" s="4">
        <v>18125303</v>
      </c>
      <c r="B8" s="5">
        <v>5165</v>
      </c>
      <c r="C8">
        <f t="shared" si="0"/>
        <v>18125303</v>
      </c>
      <c r="D8" t="str">
        <f>+VLOOKUP(C8,mocoa!T:U,2,0)</f>
        <v xml:space="preserve">GORDILLO GUZMAN ALIPIO </v>
      </c>
      <c r="E8" s="2">
        <f>+SUMIFS(mocoa!N:N,mocoa!K:K,MOCOAA!$E$2,mocoa!T:T,MOCOAA!C8)</f>
        <v>0</v>
      </c>
      <c r="F8" s="2">
        <f>+SUMIFS(mocoa!P:P,mocoa!K:K,MOCOAA!$E$2,mocoa!T:T,MOCOAA!C8)</f>
        <v>0</v>
      </c>
      <c r="G8" s="2">
        <f>+SUMIFS(mocoa!N:N,mocoa!K:K,MOCOAA!$G$2,mocoa!T:T,MOCOAA!C8)</f>
        <v>516500</v>
      </c>
      <c r="H8" s="2">
        <f>+SUMIFS(mocoa!P:P,mocoa!K:K,MOCOAA!$G$2,mocoa!T:T,MOCOAA!C8)</f>
        <v>5165</v>
      </c>
    </row>
    <row r="9" spans="1:8" x14ac:dyDescent="0.25">
      <c r="A9" s="4">
        <v>18126274</v>
      </c>
      <c r="B9" s="5">
        <v>6500</v>
      </c>
      <c r="C9">
        <f t="shared" si="0"/>
        <v>18126274</v>
      </c>
      <c r="D9" t="str">
        <f>+VLOOKUP(C9,mocoa!T:U,2,0)</f>
        <v xml:space="preserve">ALVAREZ RUIZ GERMAN </v>
      </c>
      <c r="E9" s="2">
        <f>+SUMIFS(mocoa!N:N,mocoa!K:K,MOCOAA!$E$2,mocoa!T:T,MOCOAA!C9)</f>
        <v>0</v>
      </c>
      <c r="F9" s="2">
        <f>+SUMIFS(mocoa!P:P,mocoa!K:K,MOCOAA!$E$2,mocoa!T:T,MOCOAA!C9)</f>
        <v>0</v>
      </c>
      <c r="G9" s="2">
        <f>+SUMIFS(mocoa!N:N,mocoa!K:K,MOCOAA!$G$2,mocoa!T:T,MOCOAA!C9)</f>
        <v>650000</v>
      </c>
      <c r="H9" s="2">
        <f>+SUMIFS(mocoa!P:P,mocoa!K:K,MOCOAA!$G$2,mocoa!T:T,MOCOAA!C9)</f>
        <v>6500</v>
      </c>
    </row>
    <row r="10" spans="1:8" x14ac:dyDescent="0.25">
      <c r="A10" s="4">
        <v>18126542</v>
      </c>
      <c r="B10" s="5">
        <v>13200</v>
      </c>
      <c r="C10">
        <f t="shared" si="0"/>
        <v>18126542</v>
      </c>
      <c r="D10" t="str">
        <f>+VLOOKUP(C10,mocoa!T:U,2,0)</f>
        <v xml:space="preserve">IMBACHI BENAVIDES EDINSON </v>
      </c>
      <c r="E10" s="2">
        <f>+SUMIFS(mocoa!N:N,mocoa!K:K,MOCOAA!$E$2,mocoa!T:T,MOCOAA!C10)</f>
        <v>0</v>
      </c>
      <c r="F10" s="2">
        <f>+SUMIFS(mocoa!P:P,mocoa!K:K,MOCOAA!$E$2,mocoa!T:T,MOCOAA!C10)</f>
        <v>0</v>
      </c>
      <c r="G10" s="2">
        <f>+SUMIFS(mocoa!N:N,mocoa!K:K,MOCOAA!$G$2,mocoa!T:T,MOCOAA!C10)</f>
        <v>1320000</v>
      </c>
      <c r="H10" s="2">
        <f>+SUMIFS(mocoa!P:P,mocoa!K:K,MOCOAA!$G$2,mocoa!T:T,MOCOAA!C10)</f>
        <v>13200</v>
      </c>
    </row>
    <row r="11" spans="1:8" x14ac:dyDescent="0.25">
      <c r="A11" s="4">
        <v>18127030</v>
      </c>
      <c r="B11" s="5">
        <v>4632</v>
      </c>
      <c r="C11">
        <f t="shared" si="0"/>
        <v>18127030</v>
      </c>
      <c r="D11" t="str">
        <f>+VLOOKUP(C11,mocoa!T:U,2,0)</f>
        <v>ROSERO MONCAYO YESID BERNARDO</v>
      </c>
      <c r="E11" s="2">
        <f>+SUMIFS(mocoa!N:N,mocoa!K:K,MOCOAA!$E$2,mocoa!T:T,MOCOAA!C11)</f>
        <v>772000</v>
      </c>
      <c r="F11" s="2">
        <f>+SUMIFS(mocoa!P:P,mocoa!K:K,MOCOAA!$E$2,mocoa!T:T,MOCOAA!C11)</f>
        <v>4632</v>
      </c>
      <c r="G11" s="2">
        <f>+SUMIFS(mocoa!N:N,mocoa!K:K,MOCOAA!$G$2,mocoa!T:T,MOCOAA!C11)</f>
        <v>0</v>
      </c>
      <c r="H11" s="2">
        <f>+SUMIFS(mocoa!P:P,mocoa!K:K,MOCOAA!$G$2,mocoa!T:T,MOCOAA!C11)</f>
        <v>0</v>
      </c>
    </row>
    <row r="12" spans="1:8" x14ac:dyDescent="0.25">
      <c r="A12" s="4">
        <v>18127050</v>
      </c>
      <c r="B12" s="5">
        <v>2000</v>
      </c>
      <c r="C12">
        <f t="shared" si="0"/>
        <v>18127050</v>
      </c>
      <c r="D12" t="str">
        <f>+VLOOKUP(C12,mocoa!T:U,2,0)</f>
        <v xml:space="preserve">MUÑOZ CERON GIOVANNY </v>
      </c>
      <c r="E12" s="2">
        <f>+SUMIFS(mocoa!N:N,mocoa!K:K,MOCOAA!$E$2,mocoa!T:T,MOCOAA!C12)</f>
        <v>0</v>
      </c>
      <c r="F12" s="2">
        <f>+SUMIFS(mocoa!P:P,mocoa!K:K,MOCOAA!$E$2,mocoa!T:T,MOCOAA!C12)</f>
        <v>0</v>
      </c>
      <c r="G12" s="2">
        <f>+SUMIFS(mocoa!N:N,mocoa!K:K,MOCOAA!$G$2,mocoa!T:T,MOCOAA!C12)</f>
        <v>200000</v>
      </c>
      <c r="H12" s="2">
        <f>+SUMIFS(mocoa!P:P,mocoa!K:K,MOCOAA!$G$2,mocoa!T:T,MOCOAA!C12)</f>
        <v>2000</v>
      </c>
    </row>
    <row r="13" spans="1:8" x14ac:dyDescent="0.25">
      <c r="A13" s="4">
        <v>18127828</v>
      </c>
      <c r="B13" s="5">
        <v>212510</v>
      </c>
      <c r="C13">
        <f t="shared" si="0"/>
        <v>18127828</v>
      </c>
      <c r="D13" t="str">
        <f>+VLOOKUP(C13,mocoa!T:U,2,0)</f>
        <v>ZAMBRANO DUARTE NELSON FABIO</v>
      </c>
      <c r="E13" s="2">
        <f>+SUMIFS(mocoa!N:N,mocoa!K:K,MOCOAA!$E$2,mocoa!T:T,MOCOAA!C13)</f>
        <v>0</v>
      </c>
      <c r="F13" s="2">
        <f>+SUMIFS(mocoa!P:P,mocoa!K:K,MOCOAA!$E$2,mocoa!T:T,MOCOAA!C13)</f>
        <v>0</v>
      </c>
      <c r="G13" s="2">
        <f>+SUMIFS(mocoa!N:N,mocoa!K:K,MOCOAA!$G$2,mocoa!T:T,MOCOAA!C13)</f>
        <v>21250939</v>
      </c>
      <c r="H13" s="2">
        <f>+SUMIFS(mocoa!P:P,mocoa!K:K,MOCOAA!$G$2,mocoa!T:T,MOCOAA!C13)</f>
        <v>212510</v>
      </c>
    </row>
    <row r="14" spans="1:8" x14ac:dyDescent="0.25">
      <c r="A14" s="4">
        <v>18130206</v>
      </c>
      <c r="B14" s="5">
        <v>22000</v>
      </c>
      <c r="C14">
        <f t="shared" si="0"/>
        <v>18130206</v>
      </c>
      <c r="D14" t="str">
        <f>+VLOOKUP(C14,mocoa!T:U,2,0)</f>
        <v xml:space="preserve">PORTILLA CERON JAIME </v>
      </c>
      <c r="E14" s="2">
        <f>+SUMIFS(mocoa!N:N,mocoa!K:K,MOCOAA!$E$2,mocoa!T:T,MOCOAA!C14)</f>
        <v>0</v>
      </c>
      <c r="F14" s="2">
        <f>+SUMIFS(mocoa!P:P,mocoa!K:K,MOCOAA!$E$2,mocoa!T:T,MOCOAA!C14)</f>
        <v>0</v>
      </c>
      <c r="G14" s="2">
        <f>+SUMIFS(mocoa!N:N,mocoa!K:K,MOCOAA!$G$2,mocoa!T:T,MOCOAA!C14)</f>
        <v>2200000</v>
      </c>
      <c r="H14" s="2">
        <f>+SUMIFS(mocoa!P:P,mocoa!K:K,MOCOAA!$G$2,mocoa!T:T,MOCOAA!C14)</f>
        <v>22000</v>
      </c>
    </row>
    <row r="15" spans="1:8" x14ac:dyDescent="0.25">
      <c r="A15" s="4">
        <v>18145427</v>
      </c>
      <c r="B15" s="5">
        <v>791376</v>
      </c>
      <c r="C15">
        <f t="shared" si="0"/>
        <v>18145427</v>
      </c>
      <c r="D15" t="str">
        <f>+VLOOKUP(C15,mocoa!T:U,2,0)</f>
        <v>URQUIJO CHAVEZ DUCARDO JEMBER</v>
      </c>
      <c r="E15" s="2">
        <f>+SUMIFS(mocoa!N:N,mocoa!K:K,MOCOAA!$E$2,mocoa!T:T,MOCOAA!C15)</f>
        <v>0</v>
      </c>
      <c r="F15" s="2">
        <f>+SUMIFS(mocoa!P:P,mocoa!K:K,MOCOAA!$E$2,mocoa!T:T,MOCOAA!C15)</f>
        <v>0</v>
      </c>
      <c r="G15" s="2">
        <f>+SUMIFS(mocoa!N:N,mocoa!K:K,MOCOAA!$G$2,mocoa!T:T,MOCOAA!C15)</f>
        <v>79137636</v>
      </c>
      <c r="H15" s="2">
        <f>+SUMIFS(mocoa!P:P,mocoa!K:K,MOCOAA!$G$2,mocoa!T:T,MOCOAA!C15)</f>
        <v>791376</v>
      </c>
    </row>
    <row r="16" spans="1:8" x14ac:dyDescent="0.25">
      <c r="A16" s="4">
        <v>40079253</v>
      </c>
      <c r="B16" s="5">
        <v>8763</v>
      </c>
      <c r="C16">
        <f t="shared" si="0"/>
        <v>40079253</v>
      </c>
      <c r="D16" t="str">
        <f>+VLOOKUP(C16,mocoa!T:U,2,0)</f>
        <v xml:space="preserve">SOTO ARANDA ARCILA </v>
      </c>
      <c r="E16" s="2">
        <f>+SUMIFS(mocoa!N:N,mocoa!K:K,MOCOAA!$E$2,mocoa!T:T,MOCOAA!C16)</f>
        <v>1460504</v>
      </c>
      <c r="F16" s="2">
        <f>+SUMIFS(mocoa!P:P,mocoa!K:K,MOCOAA!$E$2,mocoa!T:T,MOCOAA!C16)</f>
        <v>8763</v>
      </c>
      <c r="G16" s="2">
        <f>+SUMIFS(mocoa!N:N,mocoa!K:K,MOCOAA!$G$2,mocoa!T:T,MOCOAA!C16)</f>
        <v>0</v>
      </c>
      <c r="H16" s="2">
        <f>+SUMIFS(mocoa!P:P,mocoa!K:K,MOCOAA!$G$2,mocoa!T:T,MOCOAA!C16)</f>
        <v>0</v>
      </c>
    </row>
    <row r="17" spans="1:8" x14ac:dyDescent="0.25">
      <c r="A17" s="4">
        <v>41101376</v>
      </c>
      <c r="B17" s="5">
        <v>17850</v>
      </c>
      <c r="C17">
        <f t="shared" si="0"/>
        <v>41101376</v>
      </c>
      <c r="D17" t="str">
        <f>+VLOOKUP(C17,mocoa!T:U,2,0)</f>
        <v>ZAMBRANO  MARIA ELVIA</v>
      </c>
      <c r="E17" s="2">
        <f>+SUMIFS(mocoa!N:N,mocoa!K:K,MOCOAA!$E$2,mocoa!T:T,MOCOAA!C17)</f>
        <v>0</v>
      </c>
      <c r="F17" s="2">
        <f>+SUMIFS(mocoa!P:P,mocoa!K:K,MOCOAA!$E$2,mocoa!T:T,MOCOAA!C17)</f>
        <v>0</v>
      </c>
      <c r="G17" s="2">
        <f>+SUMIFS(mocoa!N:N,mocoa!K:K,MOCOAA!$G$2,mocoa!T:T,MOCOAA!C17)</f>
        <v>1785000</v>
      </c>
      <c r="H17" s="2">
        <f>+SUMIFS(mocoa!P:P,mocoa!K:K,MOCOAA!$G$2,mocoa!T:T,MOCOAA!C17)</f>
        <v>17850</v>
      </c>
    </row>
    <row r="18" spans="1:8" x14ac:dyDescent="0.25">
      <c r="A18" s="4">
        <v>41170105</v>
      </c>
      <c r="B18" s="5">
        <v>11600</v>
      </c>
      <c r="C18">
        <f t="shared" si="0"/>
        <v>41170105</v>
      </c>
      <c r="D18" t="str">
        <f>+VLOOKUP(C18,mocoa!T:U,2,0)</f>
        <v xml:space="preserve">DIAZ MOLINA ARACELY </v>
      </c>
      <c r="E18" s="2">
        <f>+SUMIFS(mocoa!N:N,mocoa!K:K,MOCOAA!$E$2,mocoa!T:T,MOCOAA!C18)</f>
        <v>0</v>
      </c>
      <c r="F18" s="2">
        <f>+SUMIFS(mocoa!P:P,mocoa!K:K,MOCOAA!$E$2,mocoa!T:T,MOCOAA!C18)</f>
        <v>0</v>
      </c>
      <c r="G18" s="2">
        <f>+SUMIFS(mocoa!N:N,mocoa!K:K,MOCOAA!$G$2,mocoa!T:T,MOCOAA!C18)</f>
        <v>1159950</v>
      </c>
      <c r="H18" s="2">
        <f>+SUMIFS(mocoa!P:P,mocoa!K:K,MOCOAA!$G$2,mocoa!T:T,MOCOAA!C18)</f>
        <v>11600</v>
      </c>
    </row>
    <row r="19" spans="1:8" x14ac:dyDescent="0.25">
      <c r="A19" s="4">
        <v>48600248</v>
      </c>
      <c r="B19" s="5">
        <v>5910</v>
      </c>
      <c r="C19">
        <f t="shared" si="0"/>
        <v>48600248</v>
      </c>
      <c r="D19" t="str">
        <f>+VLOOKUP(C19,mocoa!T:U,2,0)</f>
        <v>ALVAREZ CAYCEDO MARTHA LUCIA</v>
      </c>
      <c r="E19" s="2">
        <f>+SUMIFS(mocoa!N:N,mocoa!K:K,MOCOAA!$E$2,mocoa!T:T,MOCOAA!C19)</f>
        <v>0</v>
      </c>
      <c r="F19" s="2">
        <f>+SUMIFS(mocoa!P:P,mocoa!K:K,MOCOAA!$E$2,mocoa!T:T,MOCOAA!C19)</f>
        <v>0</v>
      </c>
      <c r="G19" s="2">
        <f>+SUMIFS(mocoa!N:N,mocoa!K:K,MOCOAA!$G$2,mocoa!T:T,MOCOAA!C19)</f>
        <v>591025</v>
      </c>
      <c r="H19" s="2">
        <f>+SUMIFS(mocoa!P:P,mocoa!K:K,MOCOAA!$G$2,mocoa!T:T,MOCOAA!C19)</f>
        <v>5910</v>
      </c>
    </row>
    <row r="20" spans="1:8" x14ac:dyDescent="0.25">
      <c r="A20" s="4">
        <v>69007663</v>
      </c>
      <c r="B20" s="5">
        <v>3102</v>
      </c>
      <c r="C20">
        <f t="shared" si="0"/>
        <v>69007663</v>
      </c>
      <c r="D20" t="str">
        <f>+VLOOKUP(C20,mocoa!T:U,2,0)</f>
        <v>DUQUE JIMENEZ MARLLY KATALINA</v>
      </c>
      <c r="E20" s="2">
        <f>+SUMIFS(mocoa!N:N,mocoa!K:K,MOCOAA!$E$2,mocoa!T:T,MOCOAA!C20)</f>
        <v>517000</v>
      </c>
      <c r="F20" s="2">
        <f>+SUMIFS(mocoa!P:P,mocoa!K:K,MOCOAA!$E$2,mocoa!T:T,MOCOAA!C20)</f>
        <v>3102</v>
      </c>
      <c r="G20" s="2">
        <f>+SUMIFS(mocoa!N:N,mocoa!K:K,MOCOAA!$G$2,mocoa!T:T,MOCOAA!C20)</f>
        <v>0</v>
      </c>
      <c r="H20" s="2">
        <f>+SUMIFS(mocoa!P:P,mocoa!K:K,MOCOAA!$G$2,mocoa!T:T,MOCOAA!C20)</f>
        <v>0</v>
      </c>
    </row>
    <row r="21" spans="1:8" x14ac:dyDescent="0.25">
      <c r="A21" s="4">
        <v>69009268</v>
      </c>
      <c r="B21" s="5">
        <v>9200</v>
      </c>
      <c r="C21">
        <f t="shared" si="0"/>
        <v>69009268</v>
      </c>
      <c r="D21" t="str">
        <f>+VLOOKUP(C21,mocoa!T:U,2,0)</f>
        <v>VALLEJO GARCIA SANDRA PATRICIA</v>
      </c>
      <c r="E21" s="2">
        <f>+SUMIFS(mocoa!N:N,mocoa!K:K,MOCOAA!$E$2,mocoa!T:T,MOCOAA!C21)</f>
        <v>0</v>
      </c>
      <c r="F21" s="2">
        <f>+SUMIFS(mocoa!P:P,mocoa!K:K,MOCOAA!$E$2,mocoa!T:T,MOCOAA!C21)</f>
        <v>0</v>
      </c>
      <c r="G21" s="2">
        <f>+SUMIFS(mocoa!N:N,mocoa!K:K,MOCOAA!$G$2,mocoa!T:T,MOCOAA!C21)</f>
        <v>920000</v>
      </c>
      <c r="H21" s="2">
        <f>+SUMIFS(mocoa!P:P,mocoa!K:K,MOCOAA!$G$2,mocoa!T:T,MOCOAA!C21)</f>
        <v>9200</v>
      </c>
    </row>
    <row r="22" spans="1:8" x14ac:dyDescent="0.25">
      <c r="A22" s="4">
        <v>79278081</v>
      </c>
      <c r="B22" s="5">
        <v>7000</v>
      </c>
      <c r="C22">
        <f t="shared" si="0"/>
        <v>79278081</v>
      </c>
      <c r="D22" t="str">
        <f>+VLOOKUP(C22,mocoa!T:U,2,0)</f>
        <v>CASTILLO BALLESTEROS EDGAR OVIDIO</v>
      </c>
      <c r="E22" s="2">
        <f>+SUMIFS(mocoa!N:N,mocoa!K:K,MOCOAA!$E$2,mocoa!T:T,MOCOAA!C22)</f>
        <v>0</v>
      </c>
      <c r="F22" s="2">
        <f>+SUMIFS(mocoa!P:P,mocoa!K:K,MOCOAA!$E$2,mocoa!T:T,MOCOAA!C22)</f>
        <v>0</v>
      </c>
      <c r="G22" s="2">
        <f>+SUMIFS(mocoa!N:N,mocoa!K:K,MOCOAA!$G$2,mocoa!T:T,MOCOAA!C22)</f>
        <v>700000</v>
      </c>
      <c r="H22" s="2">
        <f>+SUMIFS(mocoa!P:P,mocoa!K:K,MOCOAA!$G$2,mocoa!T:T,MOCOAA!C22)</f>
        <v>7000</v>
      </c>
    </row>
    <row r="23" spans="1:8" x14ac:dyDescent="0.25">
      <c r="A23" s="4">
        <v>80274379</v>
      </c>
      <c r="B23" s="5">
        <v>6233</v>
      </c>
      <c r="C23">
        <f t="shared" si="0"/>
        <v>80274379</v>
      </c>
      <c r="D23" t="str">
        <f>+VLOOKUP(C23,mocoa!T:U,2,0)</f>
        <v>OSPINA VARGAS JOSE ANCIZAR</v>
      </c>
      <c r="E23" s="2">
        <f>+SUMIFS(mocoa!N:N,mocoa!K:K,MOCOAA!$E$2,mocoa!T:T,MOCOAA!C23)</f>
        <v>0</v>
      </c>
      <c r="F23" s="2">
        <f>+SUMIFS(mocoa!P:P,mocoa!K:K,MOCOAA!$E$2,mocoa!T:T,MOCOAA!C23)</f>
        <v>0</v>
      </c>
      <c r="G23" s="2">
        <f>+SUMIFS(mocoa!N:N,mocoa!K:K,MOCOAA!$G$2,mocoa!T:T,MOCOAA!C23)</f>
        <v>623333</v>
      </c>
      <c r="H23" s="2">
        <f>+SUMIFS(mocoa!P:P,mocoa!K:K,MOCOAA!$G$2,mocoa!T:T,MOCOAA!C23)</f>
        <v>6233</v>
      </c>
    </row>
    <row r="24" spans="1:8" x14ac:dyDescent="0.25">
      <c r="A24" s="4">
        <v>87101363</v>
      </c>
      <c r="B24" s="5">
        <v>2250</v>
      </c>
      <c r="C24">
        <f t="shared" si="0"/>
        <v>87101363</v>
      </c>
      <c r="D24" t="str">
        <f>+VLOOKUP(C24,mocoa!T:U,2,0)</f>
        <v>PANTOJA RAMIREZ OMAR ARMANDO</v>
      </c>
      <c r="E24" s="2">
        <f>+SUMIFS(mocoa!N:N,mocoa!K:K,MOCOAA!$E$2,mocoa!T:T,MOCOAA!C24)</f>
        <v>0</v>
      </c>
      <c r="F24" s="2">
        <f>+SUMIFS(mocoa!P:P,mocoa!K:K,MOCOAA!$E$2,mocoa!T:T,MOCOAA!C24)</f>
        <v>0</v>
      </c>
      <c r="G24" s="2">
        <f>+SUMIFS(mocoa!N:N,mocoa!K:K,MOCOAA!$G$2,mocoa!T:T,MOCOAA!C24)</f>
        <v>225000</v>
      </c>
      <c r="H24" s="2">
        <f>+SUMIFS(mocoa!P:P,mocoa!K:K,MOCOAA!$G$2,mocoa!T:T,MOCOAA!C24)</f>
        <v>2250</v>
      </c>
    </row>
    <row r="25" spans="1:8" x14ac:dyDescent="0.25">
      <c r="A25" s="4">
        <v>87680094</v>
      </c>
      <c r="B25" s="5">
        <v>10922</v>
      </c>
      <c r="C25">
        <f t="shared" si="0"/>
        <v>87680094</v>
      </c>
      <c r="D25" t="str">
        <f>+VLOOKUP(C25,mocoa!T:U,2,0)</f>
        <v>ROSERO ROSERO HUMBERTO JUVENCIO</v>
      </c>
      <c r="E25" s="2">
        <f>+SUMIFS(mocoa!N:N,mocoa!K:K,MOCOAA!$E$2,mocoa!T:T,MOCOAA!C25)</f>
        <v>1820350</v>
      </c>
      <c r="F25" s="2">
        <f>+SUMIFS(mocoa!P:P,mocoa!K:K,MOCOAA!$E$2,mocoa!T:T,MOCOAA!C25)</f>
        <v>10922</v>
      </c>
      <c r="G25" s="2">
        <f>+SUMIFS(mocoa!N:N,mocoa!K:K,MOCOAA!$G$2,mocoa!T:T,MOCOAA!C25)</f>
        <v>0</v>
      </c>
      <c r="H25" s="2">
        <f>+SUMIFS(mocoa!P:P,mocoa!K:K,MOCOAA!$G$2,mocoa!T:T,MOCOAA!C25)</f>
        <v>0</v>
      </c>
    </row>
    <row r="26" spans="1:8" x14ac:dyDescent="0.25">
      <c r="A26" s="4">
        <v>93407539</v>
      </c>
      <c r="B26" s="5">
        <v>17500</v>
      </c>
      <c r="C26">
        <f t="shared" si="0"/>
        <v>93407539</v>
      </c>
      <c r="D26" t="str">
        <f>+VLOOKUP(C26,mocoa!T:U,2,0)</f>
        <v>RUBIO GUZMAN JUAN CARLOS</v>
      </c>
      <c r="E26" s="2">
        <f>+SUMIFS(mocoa!N:N,mocoa!K:K,MOCOAA!$E$2,mocoa!T:T,MOCOAA!C26)</f>
        <v>0</v>
      </c>
      <c r="F26" s="2">
        <f>+SUMIFS(mocoa!P:P,mocoa!K:K,MOCOAA!$E$2,mocoa!T:T,MOCOAA!C26)</f>
        <v>0</v>
      </c>
      <c r="G26" s="2">
        <f>+SUMIFS(mocoa!N:N,mocoa!K:K,MOCOAA!$G$2,mocoa!T:T,MOCOAA!C26)</f>
        <v>1750000</v>
      </c>
      <c r="H26" s="2">
        <f>+SUMIFS(mocoa!P:P,mocoa!K:K,MOCOAA!$G$2,mocoa!T:T,MOCOAA!C26)</f>
        <v>17500</v>
      </c>
    </row>
    <row r="27" spans="1:8" x14ac:dyDescent="0.25">
      <c r="A27" s="4">
        <v>800102891</v>
      </c>
      <c r="B27" s="5">
        <v>19640</v>
      </c>
      <c r="C27">
        <f t="shared" si="0"/>
        <v>800102891</v>
      </c>
      <c r="D27" t="str">
        <f>+VLOOKUP(C27,mocoa!T:U,2,0)</f>
        <v xml:space="preserve">ALCALDIA DE MOCOA   </v>
      </c>
      <c r="E27" s="2">
        <f>+SUMIFS(mocoa!N:N,mocoa!K:K,MOCOAA!$E$2,mocoa!T:T,MOCOAA!C27)</f>
        <v>0</v>
      </c>
      <c r="F27" s="2">
        <f>+SUMIFS(mocoa!P:P,mocoa!K:K,MOCOAA!$E$2,mocoa!T:T,MOCOAA!C27)</f>
        <v>0</v>
      </c>
      <c r="G27" s="2">
        <f>+SUMIFS(mocoa!N:N,mocoa!K:K,MOCOAA!$G$2,mocoa!T:T,MOCOAA!C27)</f>
        <v>1964075</v>
      </c>
      <c r="H27" s="2">
        <f>+SUMIFS(mocoa!P:P,mocoa!K:K,MOCOAA!$G$2,mocoa!T:T,MOCOAA!C27)</f>
        <v>19640</v>
      </c>
    </row>
    <row r="28" spans="1:8" x14ac:dyDescent="0.25">
      <c r="A28" s="4">
        <v>814000143</v>
      </c>
      <c r="B28" s="5">
        <v>7768</v>
      </c>
      <c r="C28">
        <f t="shared" si="0"/>
        <v>814000143</v>
      </c>
      <c r="D28" t="str">
        <f>+VLOOKUP(C28,mocoa!T:U,2,0)</f>
        <v xml:space="preserve">SISCONT LTDA   </v>
      </c>
      <c r="E28" s="2">
        <f>+SUMIFS(mocoa!N:N,mocoa!K:K,MOCOAA!$E$2,mocoa!T:T,MOCOAA!C28)</f>
        <v>1294819</v>
      </c>
      <c r="F28" s="2">
        <f>+SUMIFS(mocoa!P:P,mocoa!K:K,MOCOAA!$E$2,mocoa!T:T,MOCOAA!C28)</f>
        <v>7768</v>
      </c>
      <c r="G28" s="2">
        <f>+SUMIFS(mocoa!N:N,mocoa!K:K,MOCOAA!$G$2,mocoa!T:T,MOCOAA!C28)</f>
        <v>0</v>
      </c>
      <c r="H28" s="2">
        <f>+SUMIFS(mocoa!P:P,mocoa!K:K,MOCOAA!$G$2,mocoa!T:T,MOCOAA!C28)</f>
        <v>0</v>
      </c>
    </row>
    <row r="29" spans="1:8" x14ac:dyDescent="0.25">
      <c r="A29" s="4">
        <v>830145805</v>
      </c>
      <c r="B29" s="5">
        <v>62185</v>
      </c>
      <c r="C29">
        <f>+A29</f>
        <v>830145805</v>
      </c>
      <c r="D29" t="str">
        <f>+VLOOKUP(C29,mocoa!T:U,2,0)</f>
        <v xml:space="preserve">MAQUINAGRO S A   </v>
      </c>
      <c r="E29" s="2">
        <f>+SUMIFS(mocoa!N:N,mocoa!K:K,MOCOAA!$E$2,mocoa!T:T,MOCOAA!C29)</f>
        <v>12436974</v>
      </c>
      <c r="F29" s="2">
        <f>+SUMIFS(mocoa!P:P,mocoa!K:K,MOCOAA!$E$2,mocoa!T:T,MOCOAA!C29)</f>
        <v>62185</v>
      </c>
      <c r="G29" s="2">
        <f>+SUMIFS(mocoa!N:N,mocoa!K:K,MOCOAA!$G$2,mocoa!T:T,MOCOAA!C29)</f>
        <v>0</v>
      </c>
      <c r="H29" s="2">
        <f>+SUMIFS(mocoa!P:P,mocoa!K:K,MOCOAA!$G$2,mocoa!T:T,MOCOAA!C29)</f>
        <v>0</v>
      </c>
    </row>
    <row r="30" spans="1:8" x14ac:dyDescent="0.25">
      <c r="A30" s="4">
        <v>846001061</v>
      </c>
      <c r="B30" s="5">
        <v>7700</v>
      </c>
      <c r="C30">
        <f t="shared" si="0"/>
        <v>846001061</v>
      </c>
      <c r="D30" t="str">
        <f>+VLOOKUP(C30,mocoa!T:U,2,0)</f>
        <v xml:space="preserve">MAGUARE ESTEREO LTDA   </v>
      </c>
      <c r="E30" s="2">
        <f>+SUMIFS(mocoa!N:N,mocoa!K:K,MOCOAA!$E$2,mocoa!T:T,MOCOAA!C30)</f>
        <v>0</v>
      </c>
      <c r="F30" s="2">
        <f>+SUMIFS(mocoa!P:P,mocoa!K:K,MOCOAA!$E$2,mocoa!T:T,MOCOAA!C30)</f>
        <v>0</v>
      </c>
      <c r="G30" s="2">
        <f>+SUMIFS(mocoa!N:N,mocoa!K:K,MOCOAA!$G$2,mocoa!T:T,MOCOAA!C30)</f>
        <v>770000</v>
      </c>
      <c r="H30" s="2">
        <f>+SUMIFS(mocoa!P:P,mocoa!K:K,MOCOAA!$G$2,mocoa!T:T,MOCOAA!C30)</f>
        <v>7700</v>
      </c>
    </row>
    <row r="31" spans="1:8" x14ac:dyDescent="0.25">
      <c r="A31" s="4">
        <v>900437268</v>
      </c>
      <c r="B31" s="5">
        <v>57600</v>
      </c>
      <c r="C31">
        <f t="shared" si="0"/>
        <v>900437268</v>
      </c>
      <c r="D31" t="str">
        <f>+VLOOKUP(C31,mocoa!T:U,2,0)</f>
        <v xml:space="preserve">HYDRA SOLUCIONES EMPRESARIALES INGENIERIA SAS   </v>
      </c>
      <c r="E31" s="2">
        <f>+SUMIFS(mocoa!N:N,mocoa!K:K,MOCOAA!$E$2,mocoa!T:T,MOCOAA!C31)</f>
        <v>0</v>
      </c>
      <c r="F31" s="2">
        <f>+SUMIFS(mocoa!P:P,mocoa!K:K,MOCOAA!$E$2,mocoa!T:T,MOCOAA!C31)</f>
        <v>0</v>
      </c>
      <c r="G31" s="2">
        <f>+SUMIFS(mocoa!N:N,mocoa!K:K,MOCOAA!$G$2,mocoa!T:T,MOCOAA!C31)</f>
        <v>5760000</v>
      </c>
      <c r="H31" s="2">
        <f>+SUMIFS(mocoa!P:P,mocoa!K:K,MOCOAA!$G$2,mocoa!T:T,MOCOAA!C31)</f>
        <v>57600</v>
      </c>
    </row>
    <row r="32" spans="1:8" x14ac:dyDescent="0.25">
      <c r="A32" s="4">
        <v>900774181</v>
      </c>
      <c r="B32" s="5">
        <v>68410</v>
      </c>
      <c r="C32">
        <f t="shared" si="0"/>
        <v>900774181</v>
      </c>
      <c r="D32" t="str">
        <f>+VLOOKUP(C32,mocoa!T:U,2,0)</f>
        <v xml:space="preserve">SOLUCIONES INTEGRALES EN GESTION OCUPACIONAL   </v>
      </c>
      <c r="E32" s="2">
        <f>+SUMIFS(mocoa!N:N,mocoa!K:K,MOCOAA!$E$2,mocoa!T:T,MOCOAA!C32)</f>
        <v>0</v>
      </c>
      <c r="F32" s="2">
        <f>+SUMIFS(mocoa!P:P,mocoa!K:K,MOCOAA!$E$2,mocoa!T:T,MOCOAA!C32)</f>
        <v>0</v>
      </c>
      <c r="G32" s="2">
        <f>+SUMIFS(mocoa!N:N,mocoa!K:K,MOCOAA!$G$2,mocoa!T:T,MOCOAA!C32)</f>
        <v>6841000</v>
      </c>
      <c r="H32" s="2">
        <f>+SUMIFS(mocoa!P:P,mocoa!K:K,MOCOAA!$G$2,mocoa!T:T,MOCOAA!C32)</f>
        <v>68410</v>
      </c>
    </row>
    <row r="33" spans="1:8" x14ac:dyDescent="0.25">
      <c r="A33" s="4">
        <v>901358847</v>
      </c>
      <c r="B33" s="5">
        <v>8919</v>
      </c>
      <c r="C33">
        <f t="shared" si="0"/>
        <v>901358847</v>
      </c>
      <c r="D33" t="str">
        <f>+VLOOKUP(C33,mocoa!T:U,2,0)</f>
        <v xml:space="preserve">NHOMADA RECETAS DEL MUNDO SAS ZOMAC   </v>
      </c>
      <c r="E33" s="2">
        <f>+SUMIFS(mocoa!N:N,mocoa!K:K,MOCOAA!$E$2,mocoa!T:T,MOCOAA!C33)</f>
        <v>0</v>
      </c>
      <c r="F33" s="2">
        <f>+SUMIFS(mocoa!P:P,mocoa!K:K,MOCOAA!$E$2,mocoa!T:T,MOCOAA!C33)</f>
        <v>0</v>
      </c>
      <c r="G33" s="2">
        <f>+SUMIFS(mocoa!N:N,mocoa!K:K,MOCOAA!$G$2,mocoa!T:T,MOCOAA!C33)</f>
        <v>891920</v>
      </c>
      <c r="H33" s="2">
        <f>+SUMIFS(mocoa!P:P,mocoa!K:K,MOCOAA!$G$2,mocoa!T:T,MOCOAA!C33)</f>
        <v>8919</v>
      </c>
    </row>
    <row r="34" spans="1:8" x14ac:dyDescent="0.25">
      <c r="A34" s="4">
        <v>901452326</v>
      </c>
      <c r="B34" s="5">
        <v>36096</v>
      </c>
      <c r="C34">
        <f t="shared" si="0"/>
        <v>901452326</v>
      </c>
      <c r="D34" t="str">
        <f>+VLOOKUP(C34,mocoa!T:U,2,0)</f>
        <v xml:space="preserve">EL PUNTO DE LAS TEJAS S.A.S ZOMAC   </v>
      </c>
      <c r="E34" s="2">
        <f>+SUMIFS(mocoa!N:N,mocoa!K:K,MOCOAA!$E$2,mocoa!T:T,MOCOAA!C34)</f>
        <v>6015966</v>
      </c>
      <c r="F34" s="2">
        <f>+SUMIFS(mocoa!P:P,mocoa!K:K,MOCOAA!$E$2,mocoa!T:T,MOCOAA!C34)</f>
        <v>36096</v>
      </c>
      <c r="G34" s="2">
        <f>+SUMIFS(mocoa!N:N,mocoa!K:K,MOCOAA!$G$2,mocoa!T:T,MOCOAA!C34)</f>
        <v>0</v>
      </c>
      <c r="H34" s="2">
        <f>+SUMIFS(mocoa!P:P,mocoa!K:K,MOCOAA!$G$2,mocoa!T:T,MOCOAA!C34)</f>
        <v>0</v>
      </c>
    </row>
    <row r="35" spans="1:8" x14ac:dyDescent="0.25">
      <c r="A35" s="4">
        <v>1006663258</v>
      </c>
      <c r="B35" s="5">
        <v>27162</v>
      </c>
      <c r="C35">
        <f t="shared" si="0"/>
        <v>1006663258</v>
      </c>
      <c r="D35" t="str">
        <f>+VLOOKUP(C35,mocoa!T:U,2,0)</f>
        <v>RUANO RODRIGUEZ SHAYD AUGUSTO</v>
      </c>
      <c r="E35" s="2">
        <f>+SUMIFS(mocoa!N:N,mocoa!K:K,MOCOAA!$E$2,mocoa!T:T,MOCOAA!C35)</f>
        <v>4526988</v>
      </c>
      <c r="F35" s="2">
        <f>+SUMIFS(mocoa!P:P,mocoa!K:K,MOCOAA!$E$2,mocoa!T:T,MOCOAA!C35)</f>
        <v>27162</v>
      </c>
      <c r="G35" s="2">
        <f>+SUMIFS(mocoa!N:N,mocoa!K:K,MOCOAA!$G$2,mocoa!T:T,MOCOAA!C35)</f>
        <v>0</v>
      </c>
      <c r="H35" s="2">
        <f>+SUMIFS(mocoa!P:P,mocoa!K:K,MOCOAA!$G$2,mocoa!T:T,MOCOAA!C35)</f>
        <v>0</v>
      </c>
    </row>
    <row r="36" spans="1:8" x14ac:dyDescent="0.25">
      <c r="A36" s="4">
        <v>1010081868</v>
      </c>
      <c r="B36" s="5">
        <v>68905</v>
      </c>
      <c r="C36">
        <f t="shared" si="0"/>
        <v>1010081868</v>
      </c>
      <c r="D36" t="str">
        <f>+VLOOKUP(C36,mocoa!T:U,2,0)</f>
        <v>CHAVES ACOSTA YULY FERNANDA</v>
      </c>
      <c r="E36" s="2">
        <f>+SUMIFS(mocoa!N:N,mocoa!K:K,MOCOAA!$E$2,mocoa!T:T,MOCOAA!C36)</f>
        <v>4245000</v>
      </c>
      <c r="F36" s="2">
        <f>+SUMIFS(mocoa!P:P,mocoa!K:K,MOCOAA!$E$2,mocoa!T:T,MOCOAA!C36)</f>
        <v>24875</v>
      </c>
      <c r="G36" s="2">
        <f>+SUMIFS(mocoa!N:N,mocoa!K:K,MOCOAA!$G$2,mocoa!T:T,MOCOAA!C36)</f>
        <v>4403000</v>
      </c>
      <c r="H36" s="2">
        <f>+SUMIFS(mocoa!P:P,mocoa!K:K,MOCOAA!$G$2,mocoa!T:T,MOCOAA!C36)</f>
        <v>44030</v>
      </c>
    </row>
    <row r="37" spans="1:8" x14ac:dyDescent="0.25">
      <c r="A37" s="4">
        <v>1083896745</v>
      </c>
      <c r="B37" s="5">
        <v>3480</v>
      </c>
      <c r="C37">
        <f t="shared" si="0"/>
        <v>1083896745</v>
      </c>
      <c r="D37" t="str">
        <f>+VLOOKUP(C37,mocoa!T:U,2,0)</f>
        <v xml:space="preserve">FLOREZ GUZMAN JULIAN </v>
      </c>
      <c r="E37" s="2">
        <f>+SUMIFS(mocoa!N:N,mocoa!K:K,MOCOAA!$E$2,mocoa!T:T,MOCOAA!C37)</f>
        <v>580000</v>
      </c>
      <c r="F37" s="2">
        <f>+SUMIFS(mocoa!P:P,mocoa!K:K,MOCOAA!$E$2,mocoa!T:T,MOCOAA!C37)</f>
        <v>3480</v>
      </c>
      <c r="G37" s="2">
        <f>+SUMIFS(mocoa!N:N,mocoa!K:K,MOCOAA!$G$2,mocoa!T:T,MOCOAA!C37)</f>
        <v>0</v>
      </c>
      <c r="H37" s="2">
        <f>+SUMIFS(mocoa!P:P,mocoa!K:K,MOCOAA!$G$2,mocoa!T:T,MOCOAA!C37)</f>
        <v>0</v>
      </c>
    </row>
    <row r="38" spans="1:8" x14ac:dyDescent="0.25">
      <c r="A38" s="4">
        <v>1122726016</v>
      </c>
      <c r="B38" s="5">
        <v>22345</v>
      </c>
      <c r="C38">
        <f t="shared" si="0"/>
        <v>1122726016</v>
      </c>
      <c r="D38" t="str">
        <f>+VLOOKUP(C38,mocoa!T:U,2,0)</f>
        <v xml:space="preserve">VINASCO CARVAJAL WILDER </v>
      </c>
      <c r="E38" s="2">
        <f>+SUMIFS(mocoa!N:N,mocoa!K:K,MOCOAA!$E$2,mocoa!T:T,MOCOAA!C38)</f>
        <v>0</v>
      </c>
      <c r="F38" s="2">
        <f>+SUMIFS(mocoa!P:P,mocoa!K:K,MOCOAA!$E$2,mocoa!T:T,MOCOAA!C38)</f>
        <v>0</v>
      </c>
      <c r="G38" s="2">
        <f>+SUMIFS(mocoa!N:N,mocoa!K:K,MOCOAA!$G$2,mocoa!T:T,MOCOAA!C38)</f>
        <v>2234500</v>
      </c>
      <c r="H38" s="2">
        <f>+SUMIFS(mocoa!P:P,mocoa!K:K,MOCOAA!$G$2,mocoa!T:T,MOCOAA!C38)</f>
        <v>22345</v>
      </c>
    </row>
    <row r="39" spans="1:8" x14ac:dyDescent="0.25">
      <c r="A39" s="4">
        <v>1124848865</v>
      </c>
      <c r="B39" s="5">
        <v>40540</v>
      </c>
      <c r="C39">
        <f t="shared" si="0"/>
        <v>1124848865</v>
      </c>
      <c r="D39" t="str">
        <f>+VLOOKUP(C39,mocoa!T:U,2,0)</f>
        <v>PAREDES LOPEZ MANUEL EDMUNDO</v>
      </c>
      <c r="E39" s="2">
        <f>+SUMIFS(mocoa!N:N,mocoa!K:K,MOCOAA!$E$2,mocoa!T:T,MOCOAA!C39)</f>
        <v>0</v>
      </c>
      <c r="F39" s="2">
        <f>+SUMIFS(mocoa!P:P,mocoa!K:K,MOCOAA!$E$2,mocoa!T:T,MOCOAA!C39)</f>
        <v>0</v>
      </c>
      <c r="G39" s="2">
        <f>+SUMIFS(mocoa!N:N,mocoa!K:K,MOCOAA!$G$2,mocoa!T:T,MOCOAA!C39)</f>
        <v>4054000</v>
      </c>
      <c r="H39" s="2">
        <f>+SUMIFS(mocoa!P:P,mocoa!K:K,MOCOAA!$G$2,mocoa!T:T,MOCOAA!C39)</f>
        <v>40540</v>
      </c>
    </row>
    <row r="40" spans="1:8" x14ac:dyDescent="0.25">
      <c r="A40" s="4">
        <v>1124849956</v>
      </c>
      <c r="B40" s="5">
        <v>8000</v>
      </c>
      <c r="C40">
        <f t="shared" si="0"/>
        <v>1124849956</v>
      </c>
      <c r="D40" t="str">
        <f>+VLOOKUP(C40,mocoa!T:U,2,0)</f>
        <v>VELASCO LOPEZ GUSTAVO ALFREDO</v>
      </c>
      <c r="E40" s="2">
        <f>+SUMIFS(mocoa!N:N,mocoa!K:K,MOCOAA!$E$2,mocoa!T:T,MOCOAA!C40)</f>
        <v>0</v>
      </c>
      <c r="F40" s="2">
        <f>+SUMIFS(mocoa!P:P,mocoa!K:K,MOCOAA!$E$2,mocoa!T:T,MOCOAA!C40)</f>
        <v>0</v>
      </c>
      <c r="G40" s="2">
        <f>+SUMIFS(mocoa!N:N,mocoa!K:K,MOCOAA!$G$2,mocoa!T:T,MOCOAA!C40)</f>
        <v>800000</v>
      </c>
      <c r="H40" s="2">
        <f>+SUMIFS(mocoa!P:P,mocoa!K:K,MOCOAA!$G$2,mocoa!T:T,MOCOAA!C40)</f>
        <v>8000</v>
      </c>
    </row>
    <row r="41" spans="1:8" x14ac:dyDescent="0.25">
      <c r="A41" s="4">
        <v>1124850208</v>
      </c>
      <c r="B41" s="5">
        <v>28204</v>
      </c>
      <c r="C41">
        <f t="shared" si="0"/>
        <v>1124850208</v>
      </c>
      <c r="D41" t="str">
        <f>+VLOOKUP(C41,mocoa!T:U,2,0)</f>
        <v>RUIZ GONZALEZ LINSEY MARICEL</v>
      </c>
      <c r="E41" s="2">
        <f>+SUMIFS(mocoa!N:N,mocoa!K:K,MOCOAA!$E$2,mocoa!T:T,MOCOAA!C41)</f>
        <v>4700700</v>
      </c>
      <c r="F41" s="2">
        <f>+SUMIFS(mocoa!P:P,mocoa!K:K,MOCOAA!$E$2,mocoa!T:T,MOCOAA!C41)</f>
        <v>28204</v>
      </c>
      <c r="G41" s="2">
        <f>+SUMIFS(mocoa!N:N,mocoa!K:K,MOCOAA!$G$2,mocoa!T:T,MOCOAA!C41)</f>
        <v>0</v>
      </c>
      <c r="H41" s="2">
        <f>+SUMIFS(mocoa!P:P,mocoa!K:K,MOCOAA!$G$2,mocoa!T:T,MOCOAA!C41)</f>
        <v>0</v>
      </c>
    </row>
    <row r="42" spans="1:8" x14ac:dyDescent="0.25">
      <c r="A42" s="4">
        <v>1124850571</v>
      </c>
      <c r="B42" s="5">
        <v>5930</v>
      </c>
      <c r="C42">
        <f t="shared" si="0"/>
        <v>1124850571</v>
      </c>
      <c r="D42" t="str">
        <f>+VLOOKUP(C42,mocoa!T:U,2,0)</f>
        <v>PAZ PANTOJA JOANA CAROLINA</v>
      </c>
      <c r="E42" s="2">
        <f>+SUMIFS(mocoa!N:N,mocoa!K:K,MOCOAA!$E$2,mocoa!T:T,MOCOAA!C42)</f>
        <v>0</v>
      </c>
      <c r="F42" s="2">
        <f>+SUMIFS(mocoa!P:P,mocoa!K:K,MOCOAA!$E$2,mocoa!T:T,MOCOAA!C42)</f>
        <v>0</v>
      </c>
      <c r="G42" s="2">
        <f>+SUMIFS(mocoa!N:N,mocoa!K:K,MOCOAA!$G$2,mocoa!T:T,MOCOAA!C42)</f>
        <v>593000</v>
      </c>
      <c r="H42" s="2">
        <f>+SUMIFS(mocoa!P:P,mocoa!K:K,MOCOAA!$G$2,mocoa!T:T,MOCOAA!C42)</f>
        <v>5930</v>
      </c>
    </row>
    <row r="43" spans="1:8" x14ac:dyDescent="0.25">
      <c r="A43" s="4">
        <v>1124852279</v>
      </c>
      <c r="B43" s="5">
        <v>5051</v>
      </c>
      <c r="C43">
        <f t="shared" si="0"/>
        <v>1124852279</v>
      </c>
      <c r="D43" t="str">
        <f>+VLOOKUP(C43,mocoa!T:U,2,0)</f>
        <v>SOLARTE PALCHUCAN HENRY MAURICIO</v>
      </c>
      <c r="E43" s="2">
        <f>+SUMIFS(mocoa!N:N,mocoa!K:K,MOCOAA!$E$2,mocoa!T:T,MOCOAA!C43)</f>
        <v>0</v>
      </c>
      <c r="F43" s="2">
        <f>+SUMIFS(mocoa!P:P,mocoa!K:K,MOCOAA!$E$2,mocoa!T:T,MOCOAA!C43)</f>
        <v>0</v>
      </c>
      <c r="G43" s="2">
        <f>+SUMIFS(mocoa!N:N,mocoa!K:K,MOCOAA!$G$2,mocoa!T:T,MOCOAA!C43)</f>
        <v>505100</v>
      </c>
      <c r="H43" s="2">
        <f>+SUMIFS(mocoa!P:P,mocoa!K:K,MOCOAA!$G$2,mocoa!T:T,MOCOAA!C43)</f>
        <v>5051</v>
      </c>
    </row>
    <row r="44" spans="1:8" x14ac:dyDescent="0.25">
      <c r="A44" s="4">
        <v>1124853065</v>
      </c>
      <c r="B44" s="5">
        <v>13620</v>
      </c>
      <c r="C44">
        <f t="shared" si="0"/>
        <v>1124853065</v>
      </c>
      <c r="D44" t="str">
        <f>+VLOOKUP(C44,mocoa!T:U,2,0)</f>
        <v>LOZANO CHANCHI FABIERLY JHOANA</v>
      </c>
      <c r="E44" s="2">
        <f>+SUMIFS(mocoa!N:N,mocoa!K:K,MOCOAA!$E$2,mocoa!T:T,MOCOAA!C44)</f>
        <v>0</v>
      </c>
      <c r="F44" s="2">
        <f>+SUMIFS(mocoa!P:P,mocoa!K:K,MOCOAA!$E$2,mocoa!T:T,MOCOAA!C44)</f>
        <v>0</v>
      </c>
      <c r="G44" s="2">
        <f>+SUMIFS(mocoa!N:N,mocoa!K:K,MOCOAA!$G$2,mocoa!T:T,MOCOAA!C44)</f>
        <v>1362000</v>
      </c>
      <c r="H44" s="2">
        <f>+SUMIFS(mocoa!P:P,mocoa!K:K,MOCOAA!$G$2,mocoa!T:T,MOCOAA!C44)</f>
        <v>13620</v>
      </c>
    </row>
    <row r="45" spans="1:8" x14ac:dyDescent="0.25">
      <c r="A45" s="4">
        <v>1124861395</v>
      </c>
      <c r="B45" s="5">
        <v>52000</v>
      </c>
      <c r="C45">
        <f t="shared" si="0"/>
        <v>1124861395</v>
      </c>
      <c r="D45" t="str">
        <f>+VLOOKUP(C45,mocoa!T:U,2,0)</f>
        <v>GOMEZ MUÑOZ LEYDI JOHANA</v>
      </c>
      <c r="E45" s="2">
        <f>+SUMIFS(mocoa!N:N,mocoa!K:K,MOCOAA!$E$2,mocoa!T:T,MOCOAA!C45)</f>
        <v>0</v>
      </c>
      <c r="F45" s="2">
        <f>+SUMIFS(mocoa!P:P,mocoa!K:K,MOCOAA!$E$2,mocoa!T:T,MOCOAA!C45)</f>
        <v>0</v>
      </c>
      <c r="G45" s="2">
        <f>+SUMIFS(mocoa!N:N,mocoa!K:K,MOCOAA!$G$2,mocoa!T:T,MOCOAA!C45)</f>
        <v>5200000</v>
      </c>
      <c r="H45" s="2">
        <f>+SUMIFS(mocoa!P:P,mocoa!K:K,MOCOAA!$G$2,mocoa!T:T,MOCOAA!C45)</f>
        <v>52000</v>
      </c>
    </row>
    <row r="46" spans="1:8" x14ac:dyDescent="0.25">
      <c r="A46" s="4">
        <v>1126003236</v>
      </c>
      <c r="B46" s="5">
        <v>48283</v>
      </c>
      <c r="C46">
        <f t="shared" si="0"/>
        <v>1126003236</v>
      </c>
      <c r="D46" t="str">
        <f>+VLOOKUP(C46,mocoa!T:U,2,0)</f>
        <v>BERMEO MUSTAFA ALIA SAMADI</v>
      </c>
      <c r="E46" s="2">
        <f>+SUMIFS(mocoa!N:N,mocoa!K:K,MOCOAA!$E$2,mocoa!T:T,MOCOAA!C46)</f>
        <v>0</v>
      </c>
      <c r="F46" s="2">
        <f>+SUMIFS(mocoa!P:P,mocoa!K:K,MOCOAA!$E$2,mocoa!T:T,MOCOAA!C46)</f>
        <v>0</v>
      </c>
      <c r="G46" s="2">
        <f>+SUMIFS(mocoa!N:N,mocoa!K:K,MOCOAA!$G$2,mocoa!T:T,MOCOAA!C46)</f>
        <v>4828250</v>
      </c>
      <c r="H46" s="2">
        <f>+SUMIFS(mocoa!P:P,mocoa!K:K,MOCOAA!$G$2,mocoa!T:T,MOCOAA!C46)</f>
        <v>48283</v>
      </c>
    </row>
    <row r="47" spans="1:8" x14ac:dyDescent="0.25">
      <c r="A47" s="4" t="s">
        <v>680</v>
      </c>
      <c r="B47" s="5">
        <v>1854238</v>
      </c>
      <c r="E47" s="2">
        <f>+SUMIFS(mocoa!N:N,mocoa!K:K,MOCOAA!$E$2,mocoa!T:T,MOCOAA!C47)</f>
        <v>0</v>
      </c>
      <c r="F47" s="2">
        <f>+SUMIFS(mocoa!P:P,mocoa!K:K,MOCOAA!$E$2,mocoa!T:T,MOCOAA!C47)</f>
        <v>0</v>
      </c>
      <c r="G47" s="2">
        <f>+SUMIFS(mocoa!N:N,mocoa!K:K,MOCOAA!$G$2,mocoa!T:T,MOCOAA!C47)</f>
        <v>0</v>
      </c>
      <c r="H47" s="2">
        <f>+SUMIFS(mocoa!P:P,mocoa!K:K,MOCOAA!$G$2,mocoa!T:T,MOCOAA!C47)</f>
        <v>0</v>
      </c>
    </row>
  </sheetData>
  <mergeCells count="2">
    <mergeCell ref="E2:F2"/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A0B3F-299C-42CB-BA77-A2297A0A125A}">
  <sheetPr filterMode="1"/>
  <dimension ref="A1:U95"/>
  <sheetViews>
    <sheetView workbookViewId="0">
      <selection activeCell="N83" sqref="N83"/>
    </sheetView>
  </sheetViews>
  <sheetFormatPr baseColWidth="10" defaultRowHeight="15" x14ac:dyDescent="0.25"/>
  <cols>
    <col min="14" max="16" width="14.42578125" style="2" customWidth="1"/>
    <col min="17" max="17" width="22.140625" customWidth="1"/>
    <col min="21" max="21" width="49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 t="s">
        <v>21</v>
      </c>
      <c r="B2">
        <v>1000030</v>
      </c>
      <c r="C2" s="1">
        <v>45666</v>
      </c>
      <c r="D2">
        <v>1</v>
      </c>
      <c r="E2">
        <v>1</v>
      </c>
      <c r="F2">
        <v>999</v>
      </c>
      <c r="G2" t="s">
        <v>22</v>
      </c>
      <c r="J2">
        <v>24480501</v>
      </c>
      <c r="K2" t="s">
        <v>35</v>
      </c>
      <c r="L2">
        <v>800102891</v>
      </c>
      <c r="M2" t="s">
        <v>36</v>
      </c>
      <c r="N2" s="2">
        <v>480000</v>
      </c>
      <c r="O2" s="2">
        <v>0</v>
      </c>
      <c r="P2" s="2">
        <v>4800</v>
      </c>
      <c r="Q2" t="s">
        <v>639</v>
      </c>
      <c r="R2" t="s">
        <v>38</v>
      </c>
      <c r="S2">
        <v>2025</v>
      </c>
      <c r="T2">
        <v>900437268</v>
      </c>
      <c r="U2" t="s">
        <v>39</v>
      </c>
    </row>
    <row r="3" spans="1:21" hidden="1" x14ac:dyDescent="0.25">
      <c r="A3" t="s">
        <v>21</v>
      </c>
      <c r="B3">
        <v>1000106</v>
      </c>
      <c r="C3" s="1">
        <v>45679</v>
      </c>
      <c r="D3">
        <v>1</v>
      </c>
      <c r="E3">
        <v>1</v>
      </c>
      <c r="F3">
        <v>999</v>
      </c>
      <c r="G3" t="s">
        <v>22</v>
      </c>
      <c r="J3">
        <v>24480502</v>
      </c>
      <c r="K3" t="s">
        <v>106</v>
      </c>
      <c r="L3">
        <v>800102891</v>
      </c>
      <c r="M3" t="s">
        <v>36</v>
      </c>
      <c r="N3" s="2">
        <v>12436974</v>
      </c>
      <c r="O3" s="2">
        <v>0</v>
      </c>
      <c r="P3" s="2">
        <v>62185</v>
      </c>
      <c r="Q3" t="s">
        <v>339</v>
      </c>
      <c r="R3" t="s">
        <v>200</v>
      </c>
      <c r="S3">
        <v>2025</v>
      </c>
      <c r="T3">
        <v>830145805</v>
      </c>
      <c r="U3" t="s">
        <v>340</v>
      </c>
    </row>
    <row r="4" spans="1:21" hidden="1" x14ac:dyDescent="0.25">
      <c r="A4" t="s">
        <v>21</v>
      </c>
      <c r="B4">
        <v>1000121</v>
      </c>
      <c r="C4" s="1">
        <v>45684</v>
      </c>
      <c r="D4">
        <v>1</v>
      </c>
      <c r="E4">
        <v>1</v>
      </c>
      <c r="F4">
        <v>999</v>
      </c>
      <c r="G4" t="s">
        <v>22</v>
      </c>
      <c r="J4">
        <v>24480501</v>
      </c>
      <c r="K4" t="s">
        <v>35</v>
      </c>
      <c r="L4">
        <v>800102891</v>
      </c>
      <c r="M4" t="s">
        <v>36</v>
      </c>
      <c r="N4" s="2">
        <v>6594803</v>
      </c>
      <c r="O4" s="2">
        <v>0</v>
      </c>
      <c r="P4" s="2">
        <v>65948</v>
      </c>
      <c r="Q4" t="s">
        <v>405</v>
      </c>
      <c r="R4" t="s">
        <v>200</v>
      </c>
      <c r="S4">
        <v>2025</v>
      </c>
      <c r="T4">
        <v>18145427</v>
      </c>
      <c r="U4" t="s">
        <v>70</v>
      </c>
    </row>
    <row r="5" spans="1:21" hidden="1" x14ac:dyDescent="0.25">
      <c r="A5" t="s">
        <v>21</v>
      </c>
      <c r="B5">
        <v>1000129</v>
      </c>
      <c r="C5" s="1">
        <v>45686</v>
      </c>
      <c r="D5">
        <v>1</v>
      </c>
      <c r="E5">
        <v>1</v>
      </c>
      <c r="F5">
        <v>999</v>
      </c>
      <c r="G5" t="s">
        <v>22</v>
      </c>
      <c r="J5">
        <v>24480501</v>
      </c>
      <c r="K5" t="s">
        <v>35</v>
      </c>
      <c r="L5">
        <v>800102891</v>
      </c>
      <c r="M5" t="s">
        <v>36</v>
      </c>
      <c r="N5" s="2">
        <v>1170000</v>
      </c>
      <c r="O5" s="2">
        <v>0</v>
      </c>
      <c r="P5" s="2">
        <v>11700</v>
      </c>
      <c r="Q5" t="s">
        <v>135</v>
      </c>
      <c r="R5" t="s">
        <v>38</v>
      </c>
      <c r="S5">
        <v>2025</v>
      </c>
      <c r="T5">
        <v>900774181</v>
      </c>
      <c r="U5" t="s">
        <v>136</v>
      </c>
    </row>
    <row r="6" spans="1:21" hidden="1" x14ac:dyDescent="0.25">
      <c r="A6" t="s">
        <v>21</v>
      </c>
      <c r="B6">
        <v>1000138</v>
      </c>
      <c r="C6" s="1">
        <v>45687</v>
      </c>
      <c r="D6">
        <v>1</v>
      </c>
      <c r="E6">
        <v>1</v>
      </c>
      <c r="F6">
        <v>999</v>
      </c>
      <c r="G6" t="s">
        <v>22</v>
      </c>
      <c r="J6">
        <v>24480502</v>
      </c>
      <c r="K6" t="s">
        <v>106</v>
      </c>
      <c r="L6">
        <v>800102891</v>
      </c>
      <c r="M6" t="s">
        <v>36</v>
      </c>
      <c r="N6" s="2">
        <v>595000</v>
      </c>
      <c r="O6" s="2">
        <v>0</v>
      </c>
      <c r="P6" s="2">
        <v>2975</v>
      </c>
      <c r="Q6" t="s">
        <v>323</v>
      </c>
      <c r="R6" t="s">
        <v>38</v>
      </c>
      <c r="S6">
        <v>2025</v>
      </c>
      <c r="T6">
        <v>1010081868</v>
      </c>
      <c r="U6" t="s">
        <v>110</v>
      </c>
    </row>
    <row r="7" spans="1:21" hidden="1" x14ac:dyDescent="0.25">
      <c r="A7" t="s">
        <v>21</v>
      </c>
      <c r="B7">
        <v>1000149</v>
      </c>
      <c r="C7" s="1">
        <v>45691</v>
      </c>
      <c r="D7">
        <v>1</v>
      </c>
      <c r="E7">
        <v>1</v>
      </c>
      <c r="F7">
        <v>999</v>
      </c>
      <c r="G7" t="s">
        <v>22</v>
      </c>
      <c r="J7">
        <v>24480501</v>
      </c>
      <c r="K7" t="s">
        <v>35</v>
      </c>
      <c r="L7">
        <v>800102891</v>
      </c>
      <c r="M7" t="s">
        <v>36</v>
      </c>
      <c r="N7" s="2">
        <v>480000</v>
      </c>
      <c r="O7" s="2">
        <v>0</v>
      </c>
      <c r="P7" s="2">
        <v>4800</v>
      </c>
      <c r="Q7" t="s">
        <v>256</v>
      </c>
      <c r="R7" t="s">
        <v>38</v>
      </c>
      <c r="S7">
        <v>2025</v>
      </c>
      <c r="T7">
        <v>900437268</v>
      </c>
      <c r="U7" t="s">
        <v>39</v>
      </c>
    </row>
    <row r="8" spans="1:21" hidden="1" x14ac:dyDescent="0.25">
      <c r="A8" t="s">
        <v>21</v>
      </c>
      <c r="B8">
        <v>1000258</v>
      </c>
      <c r="C8" s="1">
        <v>45699</v>
      </c>
      <c r="D8">
        <v>1</v>
      </c>
      <c r="E8">
        <v>1</v>
      </c>
      <c r="F8">
        <v>999</v>
      </c>
      <c r="G8" t="s">
        <v>22</v>
      </c>
      <c r="J8">
        <v>24480502</v>
      </c>
      <c r="K8" t="s">
        <v>106</v>
      </c>
      <c r="L8">
        <v>800102891</v>
      </c>
      <c r="M8" t="s">
        <v>36</v>
      </c>
      <c r="N8" s="2">
        <v>2095000</v>
      </c>
      <c r="O8" s="2">
        <v>0</v>
      </c>
      <c r="P8" s="2">
        <v>12570</v>
      </c>
      <c r="Q8" t="s">
        <v>158</v>
      </c>
      <c r="R8" t="s">
        <v>38</v>
      </c>
      <c r="S8">
        <v>2025</v>
      </c>
      <c r="T8">
        <v>1124850208</v>
      </c>
      <c r="U8" t="s">
        <v>159</v>
      </c>
    </row>
    <row r="9" spans="1:21" hidden="1" x14ac:dyDescent="0.25">
      <c r="A9" t="s">
        <v>93</v>
      </c>
      <c r="B9">
        <v>1000697</v>
      </c>
      <c r="C9" s="1">
        <v>45712</v>
      </c>
      <c r="D9">
        <v>1</v>
      </c>
      <c r="E9">
        <v>1</v>
      </c>
      <c r="F9">
        <v>999</v>
      </c>
      <c r="G9" t="s">
        <v>22</v>
      </c>
      <c r="J9">
        <v>24480501</v>
      </c>
      <c r="K9" t="s">
        <v>35</v>
      </c>
      <c r="L9">
        <v>800102891</v>
      </c>
      <c r="M9" t="s">
        <v>36</v>
      </c>
      <c r="N9" s="2">
        <v>1964075</v>
      </c>
      <c r="O9" s="2">
        <v>0</v>
      </c>
      <c r="P9" s="2">
        <v>19640</v>
      </c>
      <c r="Q9" t="s">
        <v>231</v>
      </c>
      <c r="R9" t="s">
        <v>31</v>
      </c>
      <c r="S9">
        <v>2025</v>
      </c>
      <c r="T9">
        <v>18127828</v>
      </c>
      <c r="U9" t="s">
        <v>205</v>
      </c>
    </row>
    <row r="10" spans="1:21" hidden="1" x14ac:dyDescent="0.25">
      <c r="A10" t="s">
        <v>21</v>
      </c>
      <c r="B10">
        <v>1000350</v>
      </c>
      <c r="C10" s="1">
        <v>45713</v>
      </c>
      <c r="D10">
        <v>1</v>
      </c>
      <c r="E10">
        <v>1</v>
      </c>
      <c r="F10">
        <v>999</v>
      </c>
      <c r="G10" t="s">
        <v>22</v>
      </c>
      <c r="J10">
        <v>24480501</v>
      </c>
      <c r="K10" t="s">
        <v>35</v>
      </c>
      <c r="L10">
        <v>800102891</v>
      </c>
      <c r="M10" t="s">
        <v>36</v>
      </c>
      <c r="N10" s="2">
        <v>733000</v>
      </c>
      <c r="O10" s="2">
        <v>0</v>
      </c>
      <c r="P10" s="2">
        <v>7330</v>
      </c>
      <c r="Q10" t="s">
        <v>238</v>
      </c>
      <c r="R10" t="s">
        <v>168</v>
      </c>
      <c r="S10">
        <v>2025</v>
      </c>
      <c r="T10">
        <v>1124853065</v>
      </c>
      <c r="U10" t="s">
        <v>233</v>
      </c>
    </row>
    <row r="11" spans="1:21" hidden="1" x14ac:dyDescent="0.25">
      <c r="A11" t="s">
        <v>21</v>
      </c>
      <c r="B11">
        <v>1000383</v>
      </c>
      <c r="C11" s="1">
        <v>45715</v>
      </c>
      <c r="D11">
        <v>1</v>
      </c>
      <c r="E11">
        <v>1</v>
      </c>
      <c r="F11">
        <v>999</v>
      </c>
      <c r="G11" t="s">
        <v>22</v>
      </c>
      <c r="J11">
        <v>24480501</v>
      </c>
      <c r="K11" t="s">
        <v>35</v>
      </c>
      <c r="L11">
        <v>800102891</v>
      </c>
      <c r="M11" t="s">
        <v>36</v>
      </c>
      <c r="N11" s="2">
        <v>6594803</v>
      </c>
      <c r="O11" s="2">
        <v>0</v>
      </c>
      <c r="P11" s="2">
        <v>65948</v>
      </c>
      <c r="Q11" t="s">
        <v>615</v>
      </c>
      <c r="R11" t="s">
        <v>31</v>
      </c>
      <c r="S11">
        <v>2025</v>
      </c>
      <c r="T11">
        <v>18145427</v>
      </c>
      <c r="U11" t="s">
        <v>70</v>
      </c>
    </row>
    <row r="12" spans="1:21" hidden="1" x14ac:dyDescent="0.25">
      <c r="A12" t="s">
        <v>21</v>
      </c>
      <c r="B12">
        <v>1000505</v>
      </c>
      <c r="C12" s="1">
        <v>45729</v>
      </c>
      <c r="D12">
        <v>1</v>
      </c>
      <c r="E12">
        <v>1</v>
      </c>
      <c r="F12">
        <v>999</v>
      </c>
      <c r="G12" t="s">
        <v>22</v>
      </c>
      <c r="J12">
        <v>24480502</v>
      </c>
      <c r="K12" t="s">
        <v>106</v>
      </c>
      <c r="L12">
        <v>800102891</v>
      </c>
      <c r="M12" t="s">
        <v>36</v>
      </c>
      <c r="N12" s="2">
        <v>865700</v>
      </c>
      <c r="O12" s="2">
        <v>0</v>
      </c>
      <c r="P12" s="2">
        <v>5194</v>
      </c>
      <c r="Q12" t="s">
        <v>509</v>
      </c>
      <c r="R12" t="s">
        <v>31</v>
      </c>
      <c r="S12">
        <v>2025</v>
      </c>
      <c r="T12">
        <v>1124850208</v>
      </c>
      <c r="U12" t="s">
        <v>159</v>
      </c>
    </row>
    <row r="13" spans="1:21" hidden="1" x14ac:dyDescent="0.25">
      <c r="A13" t="s">
        <v>21</v>
      </c>
      <c r="B13">
        <v>1000585</v>
      </c>
      <c r="C13" s="1">
        <v>45744</v>
      </c>
      <c r="D13">
        <v>1</v>
      </c>
      <c r="E13">
        <v>1</v>
      </c>
      <c r="F13">
        <v>999</v>
      </c>
      <c r="G13" t="s">
        <v>22</v>
      </c>
      <c r="J13">
        <v>24480501</v>
      </c>
      <c r="K13" t="s">
        <v>35</v>
      </c>
      <c r="L13">
        <v>800102891</v>
      </c>
      <c r="M13" t="s">
        <v>36</v>
      </c>
      <c r="N13" s="2">
        <v>720000</v>
      </c>
      <c r="O13" s="2">
        <v>0</v>
      </c>
      <c r="P13" s="2">
        <v>7200</v>
      </c>
      <c r="Q13" t="s">
        <v>109</v>
      </c>
      <c r="R13" t="s">
        <v>31</v>
      </c>
      <c r="S13">
        <v>2025</v>
      </c>
      <c r="T13">
        <v>1010081868</v>
      </c>
      <c r="U13" t="s">
        <v>110</v>
      </c>
    </row>
    <row r="14" spans="1:21" hidden="1" x14ac:dyDescent="0.25">
      <c r="A14" t="s">
        <v>21</v>
      </c>
      <c r="B14">
        <v>1000596</v>
      </c>
      <c r="C14" s="1">
        <v>45744</v>
      </c>
      <c r="D14">
        <v>1</v>
      </c>
      <c r="E14">
        <v>1</v>
      </c>
      <c r="F14">
        <v>999</v>
      </c>
      <c r="G14" t="s">
        <v>22</v>
      </c>
      <c r="J14">
        <v>24480501</v>
      </c>
      <c r="K14" t="s">
        <v>35</v>
      </c>
      <c r="L14">
        <v>800102891</v>
      </c>
      <c r="M14" t="s">
        <v>36</v>
      </c>
      <c r="N14" s="2">
        <v>1571000</v>
      </c>
      <c r="O14" s="2">
        <v>0</v>
      </c>
      <c r="P14" s="2">
        <v>15710</v>
      </c>
      <c r="Q14" t="s">
        <v>475</v>
      </c>
      <c r="R14" t="s">
        <v>31</v>
      </c>
      <c r="S14">
        <v>2025</v>
      </c>
      <c r="T14">
        <v>1126003236</v>
      </c>
      <c r="U14" t="s">
        <v>169</v>
      </c>
    </row>
    <row r="15" spans="1:21" hidden="1" x14ac:dyDescent="0.25">
      <c r="A15" t="s">
        <v>21</v>
      </c>
      <c r="B15">
        <v>1000584</v>
      </c>
      <c r="C15" s="1">
        <v>45744</v>
      </c>
      <c r="D15">
        <v>1</v>
      </c>
      <c r="E15">
        <v>1</v>
      </c>
      <c r="F15">
        <v>999</v>
      </c>
      <c r="G15" t="s">
        <v>22</v>
      </c>
      <c r="J15">
        <v>24480501</v>
      </c>
      <c r="K15" t="s">
        <v>35</v>
      </c>
      <c r="L15">
        <v>800102891</v>
      </c>
      <c r="M15" t="s">
        <v>36</v>
      </c>
      <c r="N15" s="2">
        <v>6594803</v>
      </c>
      <c r="O15" s="2">
        <v>0</v>
      </c>
      <c r="P15" s="2">
        <v>65948</v>
      </c>
      <c r="Q15" t="s">
        <v>648</v>
      </c>
      <c r="R15" t="s">
        <v>31</v>
      </c>
      <c r="S15">
        <v>2025</v>
      </c>
      <c r="T15">
        <v>18145427</v>
      </c>
      <c r="U15" t="s">
        <v>70</v>
      </c>
    </row>
    <row r="16" spans="1:21" hidden="1" x14ac:dyDescent="0.25">
      <c r="A16" t="s">
        <v>21</v>
      </c>
      <c r="B16">
        <v>1000607</v>
      </c>
      <c r="C16" s="1">
        <v>45747</v>
      </c>
      <c r="D16">
        <v>1</v>
      </c>
      <c r="E16">
        <v>1</v>
      </c>
      <c r="F16">
        <v>999</v>
      </c>
      <c r="G16" t="s">
        <v>22</v>
      </c>
      <c r="J16">
        <v>24480501</v>
      </c>
      <c r="K16" t="s">
        <v>35</v>
      </c>
      <c r="L16">
        <v>800102891</v>
      </c>
      <c r="M16" t="s">
        <v>36</v>
      </c>
      <c r="N16" s="2">
        <v>629000</v>
      </c>
      <c r="O16" s="2">
        <v>0</v>
      </c>
      <c r="P16" s="2">
        <v>6290</v>
      </c>
      <c r="Q16" t="s">
        <v>232</v>
      </c>
      <c r="R16" t="s">
        <v>31</v>
      </c>
      <c r="S16">
        <v>2025</v>
      </c>
      <c r="T16">
        <v>1124853065</v>
      </c>
      <c r="U16" t="s">
        <v>233</v>
      </c>
    </row>
    <row r="17" spans="1:21" hidden="1" x14ac:dyDescent="0.25">
      <c r="A17" t="s">
        <v>21</v>
      </c>
      <c r="B17">
        <v>1000607</v>
      </c>
      <c r="C17" s="1">
        <v>45747</v>
      </c>
      <c r="D17">
        <v>1</v>
      </c>
      <c r="E17">
        <v>1</v>
      </c>
      <c r="F17">
        <v>999</v>
      </c>
      <c r="G17" t="s">
        <v>22</v>
      </c>
      <c r="J17">
        <v>24480501</v>
      </c>
      <c r="K17" t="s">
        <v>35</v>
      </c>
      <c r="L17">
        <v>800102891</v>
      </c>
      <c r="M17" t="s">
        <v>36</v>
      </c>
      <c r="N17" s="2">
        <v>650000</v>
      </c>
      <c r="O17" s="2">
        <v>0</v>
      </c>
      <c r="P17" s="2">
        <v>6500</v>
      </c>
      <c r="Q17" t="s">
        <v>232</v>
      </c>
      <c r="R17" t="s">
        <v>31</v>
      </c>
      <c r="S17">
        <v>2025</v>
      </c>
      <c r="T17">
        <v>93407539</v>
      </c>
      <c r="U17" t="s">
        <v>348</v>
      </c>
    </row>
    <row r="18" spans="1:21" hidden="1" x14ac:dyDescent="0.25">
      <c r="A18" t="s">
        <v>21</v>
      </c>
      <c r="B18">
        <v>1000607</v>
      </c>
      <c r="C18" s="1">
        <v>45747</v>
      </c>
      <c r="D18">
        <v>1</v>
      </c>
      <c r="E18">
        <v>1</v>
      </c>
      <c r="F18">
        <v>999</v>
      </c>
      <c r="G18" t="s">
        <v>22</v>
      </c>
      <c r="J18">
        <v>24480501</v>
      </c>
      <c r="K18" t="s">
        <v>35</v>
      </c>
      <c r="L18">
        <v>800102891</v>
      </c>
      <c r="M18" t="s">
        <v>36</v>
      </c>
      <c r="N18" s="2">
        <v>650000</v>
      </c>
      <c r="O18" s="2">
        <v>0</v>
      </c>
      <c r="P18" s="2">
        <v>6500</v>
      </c>
      <c r="Q18" t="s">
        <v>232</v>
      </c>
      <c r="R18" t="s">
        <v>31</v>
      </c>
      <c r="S18">
        <v>2025</v>
      </c>
      <c r="T18">
        <v>18126274</v>
      </c>
      <c r="U18" t="s">
        <v>617</v>
      </c>
    </row>
    <row r="19" spans="1:21" hidden="1" x14ac:dyDescent="0.25">
      <c r="A19" t="s">
        <v>21</v>
      </c>
      <c r="B19">
        <v>1000619</v>
      </c>
      <c r="C19" s="1">
        <v>45748</v>
      </c>
      <c r="D19">
        <v>1</v>
      </c>
      <c r="E19">
        <v>1</v>
      </c>
      <c r="F19">
        <v>999</v>
      </c>
      <c r="G19" t="s">
        <v>22</v>
      </c>
      <c r="J19">
        <v>24480501</v>
      </c>
      <c r="K19" t="s">
        <v>35</v>
      </c>
      <c r="L19">
        <v>800102891</v>
      </c>
      <c r="M19" t="s">
        <v>36</v>
      </c>
      <c r="N19" s="2">
        <v>2000000</v>
      </c>
      <c r="O19" s="2">
        <v>0</v>
      </c>
      <c r="P19" s="2">
        <v>20000</v>
      </c>
      <c r="Q19" t="s">
        <v>174</v>
      </c>
      <c r="R19" t="s">
        <v>31</v>
      </c>
      <c r="S19">
        <v>2025</v>
      </c>
      <c r="T19">
        <v>12997019</v>
      </c>
      <c r="U19" t="s">
        <v>175</v>
      </c>
    </row>
    <row r="20" spans="1:21" hidden="1" x14ac:dyDescent="0.25">
      <c r="A20" t="s">
        <v>93</v>
      </c>
      <c r="B20">
        <v>1001368</v>
      </c>
      <c r="C20" s="1">
        <v>45748</v>
      </c>
      <c r="D20">
        <v>1</v>
      </c>
      <c r="E20">
        <v>1</v>
      </c>
      <c r="F20">
        <v>999</v>
      </c>
      <c r="G20" t="s">
        <v>22</v>
      </c>
      <c r="J20">
        <v>24480501</v>
      </c>
      <c r="K20" t="s">
        <v>35</v>
      </c>
      <c r="L20">
        <v>800102891</v>
      </c>
      <c r="M20" t="s">
        <v>36</v>
      </c>
      <c r="N20" s="2">
        <v>1964075</v>
      </c>
      <c r="O20" s="2">
        <v>0</v>
      </c>
      <c r="P20" s="2">
        <v>19640</v>
      </c>
      <c r="Q20" t="s">
        <v>432</v>
      </c>
      <c r="R20" t="s">
        <v>31</v>
      </c>
      <c r="S20">
        <v>2025</v>
      </c>
      <c r="T20">
        <v>800102891</v>
      </c>
      <c r="U20" t="s">
        <v>36</v>
      </c>
    </row>
    <row r="21" spans="1:21" hidden="1" x14ac:dyDescent="0.25">
      <c r="A21" t="s">
        <v>21</v>
      </c>
      <c r="B21">
        <v>1000622</v>
      </c>
      <c r="C21" s="1">
        <v>45748</v>
      </c>
      <c r="D21">
        <v>1</v>
      </c>
      <c r="E21">
        <v>1</v>
      </c>
      <c r="F21">
        <v>999</v>
      </c>
      <c r="G21" t="s">
        <v>22</v>
      </c>
      <c r="J21">
        <v>24480501</v>
      </c>
      <c r="K21" t="s">
        <v>35</v>
      </c>
      <c r="L21">
        <v>800102891</v>
      </c>
      <c r="M21" t="s">
        <v>36</v>
      </c>
      <c r="N21" s="2">
        <v>1080000</v>
      </c>
      <c r="O21" s="2">
        <v>0</v>
      </c>
      <c r="P21" s="2">
        <v>10800</v>
      </c>
      <c r="Q21" t="s">
        <v>584</v>
      </c>
      <c r="R21" t="s">
        <v>31</v>
      </c>
      <c r="S21">
        <v>2025</v>
      </c>
      <c r="T21">
        <v>41101376</v>
      </c>
      <c r="U21" t="s">
        <v>585</v>
      </c>
    </row>
    <row r="22" spans="1:21" hidden="1" x14ac:dyDescent="0.25">
      <c r="A22" t="s">
        <v>21</v>
      </c>
      <c r="B22">
        <v>1000756</v>
      </c>
      <c r="C22" s="1">
        <v>45756</v>
      </c>
      <c r="D22">
        <v>1</v>
      </c>
      <c r="E22">
        <v>1</v>
      </c>
      <c r="F22">
        <v>999</v>
      </c>
      <c r="G22" t="s">
        <v>22</v>
      </c>
      <c r="J22">
        <v>24480501</v>
      </c>
      <c r="K22" t="s">
        <v>35</v>
      </c>
      <c r="L22">
        <v>800102891</v>
      </c>
      <c r="M22" t="s">
        <v>36</v>
      </c>
      <c r="N22" s="2">
        <v>480000</v>
      </c>
      <c r="O22" s="2">
        <v>0</v>
      </c>
      <c r="P22" s="2">
        <v>4800</v>
      </c>
      <c r="Q22" t="s">
        <v>51</v>
      </c>
      <c r="R22" t="s">
        <v>31</v>
      </c>
      <c r="S22">
        <v>2025</v>
      </c>
      <c r="T22">
        <v>900437268</v>
      </c>
      <c r="U22" t="s">
        <v>39</v>
      </c>
    </row>
    <row r="23" spans="1:21" hidden="1" x14ac:dyDescent="0.25">
      <c r="A23" t="s">
        <v>21</v>
      </c>
      <c r="B23">
        <v>1000755</v>
      </c>
      <c r="C23" s="1">
        <v>45756</v>
      </c>
      <c r="D23">
        <v>1</v>
      </c>
      <c r="E23">
        <v>1</v>
      </c>
      <c r="F23">
        <v>999</v>
      </c>
      <c r="G23" t="s">
        <v>22</v>
      </c>
      <c r="J23">
        <v>24480501</v>
      </c>
      <c r="K23" t="s">
        <v>35</v>
      </c>
      <c r="L23">
        <v>800102891</v>
      </c>
      <c r="M23" t="s">
        <v>36</v>
      </c>
      <c r="N23" s="2">
        <v>480000</v>
      </c>
      <c r="O23" s="2">
        <v>0</v>
      </c>
      <c r="P23" s="2">
        <v>4800</v>
      </c>
      <c r="Q23" t="s">
        <v>381</v>
      </c>
      <c r="R23" t="s">
        <v>31</v>
      </c>
      <c r="S23">
        <v>2025</v>
      </c>
      <c r="T23">
        <v>900437268</v>
      </c>
      <c r="U23" t="s">
        <v>39</v>
      </c>
    </row>
    <row r="24" spans="1:21" hidden="1" x14ac:dyDescent="0.25">
      <c r="A24" t="s">
        <v>21</v>
      </c>
      <c r="B24">
        <v>1000841</v>
      </c>
      <c r="C24" s="1">
        <v>45769</v>
      </c>
      <c r="D24">
        <v>1</v>
      </c>
      <c r="E24">
        <v>1</v>
      </c>
      <c r="F24">
        <v>999</v>
      </c>
      <c r="G24" t="s">
        <v>22</v>
      </c>
      <c r="J24">
        <v>24480502</v>
      </c>
      <c r="K24" t="s">
        <v>106</v>
      </c>
      <c r="L24">
        <v>800102891</v>
      </c>
      <c r="M24" t="s">
        <v>36</v>
      </c>
      <c r="N24" s="2">
        <v>850000</v>
      </c>
      <c r="O24" s="2">
        <v>0</v>
      </c>
      <c r="P24" s="2">
        <v>5100</v>
      </c>
      <c r="Q24" t="s">
        <v>329</v>
      </c>
      <c r="R24" t="s">
        <v>31</v>
      </c>
      <c r="S24">
        <v>2025</v>
      </c>
      <c r="T24">
        <v>1010081868</v>
      </c>
      <c r="U24" t="s">
        <v>110</v>
      </c>
    </row>
    <row r="25" spans="1:21" hidden="1" x14ac:dyDescent="0.25">
      <c r="A25" t="s">
        <v>21</v>
      </c>
      <c r="B25">
        <v>1000854</v>
      </c>
      <c r="C25" s="1">
        <v>45772</v>
      </c>
      <c r="D25">
        <v>1</v>
      </c>
      <c r="E25">
        <v>1</v>
      </c>
      <c r="F25">
        <v>999</v>
      </c>
      <c r="G25" t="s">
        <v>22</v>
      </c>
      <c r="J25">
        <v>24480502</v>
      </c>
      <c r="K25" t="s">
        <v>106</v>
      </c>
      <c r="L25">
        <v>800102891</v>
      </c>
      <c r="M25" t="s">
        <v>36</v>
      </c>
      <c r="N25" s="2">
        <v>1160000</v>
      </c>
      <c r="O25" s="2">
        <v>0</v>
      </c>
      <c r="P25" s="2">
        <v>6960</v>
      </c>
      <c r="Q25" t="s">
        <v>208</v>
      </c>
      <c r="R25" t="s">
        <v>31</v>
      </c>
      <c r="S25">
        <v>2025</v>
      </c>
      <c r="T25">
        <v>1124850208</v>
      </c>
      <c r="U25" t="s">
        <v>159</v>
      </c>
    </row>
    <row r="26" spans="1:21" hidden="1" x14ac:dyDescent="0.25">
      <c r="A26" t="s">
        <v>21</v>
      </c>
      <c r="B26">
        <v>1000855</v>
      </c>
      <c r="C26" s="1">
        <v>45772</v>
      </c>
      <c r="D26">
        <v>1</v>
      </c>
      <c r="E26">
        <v>1</v>
      </c>
      <c r="F26">
        <v>999</v>
      </c>
      <c r="G26" t="s">
        <v>22</v>
      </c>
      <c r="J26">
        <v>24480502</v>
      </c>
      <c r="K26" t="s">
        <v>106</v>
      </c>
      <c r="L26">
        <v>800102891</v>
      </c>
      <c r="M26" t="s">
        <v>36</v>
      </c>
      <c r="N26" s="2">
        <v>580000</v>
      </c>
      <c r="O26" s="2">
        <v>0</v>
      </c>
      <c r="P26" s="2">
        <v>3480</v>
      </c>
      <c r="Q26" t="s">
        <v>380</v>
      </c>
      <c r="R26" t="s">
        <v>31</v>
      </c>
      <c r="S26">
        <v>2025</v>
      </c>
      <c r="T26">
        <v>1124850208</v>
      </c>
      <c r="U26" t="s">
        <v>159</v>
      </c>
    </row>
    <row r="27" spans="1:21" hidden="1" x14ac:dyDescent="0.25">
      <c r="A27" t="s">
        <v>21</v>
      </c>
      <c r="B27">
        <v>1000873</v>
      </c>
      <c r="C27" s="1">
        <v>45776</v>
      </c>
      <c r="D27">
        <v>1</v>
      </c>
      <c r="E27">
        <v>1</v>
      </c>
      <c r="F27">
        <v>999</v>
      </c>
      <c r="G27" t="s">
        <v>22</v>
      </c>
      <c r="J27">
        <v>24480501</v>
      </c>
      <c r="K27" t="s">
        <v>35</v>
      </c>
      <c r="L27">
        <v>800102891</v>
      </c>
      <c r="M27" t="s">
        <v>36</v>
      </c>
      <c r="N27" s="2">
        <v>6594803</v>
      </c>
      <c r="O27" s="2">
        <v>0</v>
      </c>
      <c r="P27" s="2">
        <v>65948</v>
      </c>
      <c r="Q27" t="s">
        <v>412</v>
      </c>
      <c r="R27" t="s">
        <v>31</v>
      </c>
      <c r="S27">
        <v>2025</v>
      </c>
      <c r="T27">
        <v>18145427</v>
      </c>
      <c r="U27" t="s">
        <v>70</v>
      </c>
    </row>
    <row r="28" spans="1:21" hidden="1" x14ac:dyDescent="0.25">
      <c r="A28" t="s">
        <v>93</v>
      </c>
      <c r="B28">
        <v>1001869</v>
      </c>
      <c r="C28" s="1">
        <v>45783</v>
      </c>
      <c r="D28">
        <v>1</v>
      </c>
      <c r="E28">
        <v>1</v>
      </c>
      <c r="F28">
        <v>999</v>
      </c>
      <c r="G28" t="s">
        <v>22</v>
      </c>
      <c r="J28">
        <v>24480501</v>
      </c>
      <c r="K28" t="s">
        <v>35</v>
      </c>
      <c r="L28">
        <v>800102891</v>
      </c>
      <c r="M28" t="s">
        <v>36</v>
      </c>
      <c r="N28" s="2">
        <v>2142985</v>
      </c>
      <c r="O28" s="2">
        <v>0</v>
      </c>
      <c r="P28" s="2">
        <v>21430</v>
      </c>
      <c r="Q28" t="s">
        <v>444</v>
      </c>
      <c r="R28" t="s">
        <v>31</v>
      </c>
      <c r="S28">
        <v>2025</v>
      </c>
      <c r="T28">
        <v>18127828</v>
      </c>
      <c r="U28" t="s">
        <v>205</v>
      </c>
    </row>
    <row r="29" spans="1:21" hidden="1" x14ac:dyDescent="0.25">
      <c r="A29" t="s">
        <v>21</v>
      </c>
      <c r="B29">
        <v>1000960</v>
      </c>
      <c r="C29" s="1">
        <v>45785</v>
      </c>
      <c r="D29">
        <v>1</v>
      </c>
      <c r="E29">
        <v>1</v>
      </c>
      <c r="F29">
        <v>999</v>
      </c>
      <c r="G29" t="s">
        <v>22</v>
      </c>
      <c r="J29">
        <v>24480501</v>
      </c>
      <c r="K29" t="s">
        <v>35</v>
      </c>
      <c r="L29">
        <v>800102891</v>
      </c>
      <c r="M29" t="s">
        <v>36</v>
      </c>
      <c r="N29" s="2">
        <v>1100000</v>
      </c>
      <c r="O29" s="2">
        <v>0</v>
      </c>
      <c r="P29" s="2">
        <v>11000</v>
      </c>
      <c r="Q29" t="s">
        <v>550</v>
      </c>
      <c r="R29" t="s">
        <v>31</v>
      </c>
      <c r="S29">
        <v>2025</v>
      </c>
      <c r="T29">
        <v>93407539</v>
      </c>
      <c r="U29" t="s">
        <v>348</v>
      </c>
    </row>
    <row r="30" spans="1:21" hidden="1" x14ac:dyDescent="0.25">
      <c r="A30" t="s">
        <v>21</v>
      </c>
      <c r="B30">
        <v>1001013</v>
      </c>
      <c r="C30" s="1">
        <v>45790</v>
      </c>
      <c r="D30">
        <v>1</v>
      </c>
      <c r="E30">
        <v>1</v>
      </c>
      <c r="F30">
        <v>999</v>
      </c>
      <c r="G30" t="s">
        <v>22</v>
      </c>
      <c r="J30">
        <v>24480501</v>
      </c>
      <c r="K30" t="s">
        <v>35</v>
      </c>
      <c r="L30">
        <v>800102891</v>
      </c>
      <c r="M30" t="s">
        <v>36</v>
      </c>
      <c r="N30" s="2">
        <v>2234500</v>
      </c>
      <c r="O30" s="2">
        <v>0</v>
      </c>
      <c r="P30" s="2">
        <v>22345</v>
      </c>
      <c r="Q30" t="s">
        <v>40</v>
      </c>
      <c r="R30" t="s">
        <v>31</v>
      </c>
      <c r="S30">
        <v>2025</v>
      </c>
      <c r="T30">
        <v>1122726016</v>
      </c>
      <c r="U30" t="s">
        <v>41</v>
      </c>
    </row>
    <row r="31" spans="1:21" hidden="1" x14ac:dyDescent="0.25">
      <c r="A31" t="s">
        <v>21</v>
      </c>
      <c r="B31">
        <v>1001021</v>
      </c>
      <c r="C31" s="1">
        <v>45791</v>
      </c>
      <c r="D31">
        <v>1</v>
      </c>
      <c r="E31">
        <v>1</v>
      </c>
      <c r="F31">
        <v>999</v>
      </c>
      <c r="G31" t="s">
        <v>22</v>
      </c>
      <c r="J31">
        <v>24480501</v>
      </c>
      <c r="K31" t="s">
        <v>35</v>
      </c>
      <c r="L31">
        <v>800102891</v>
      </c>
      <c r="M31" t="s">
        <v>36</v>
      </c>
      <c r="N31" s="2">
        <v>480000</v>
      </c>
      <c r="O31" s="2">
        <v>0</v>
      </c>
      <c r="P31" s="2">
        <v>4800</v>
      </c>
      <c r="Q31" t="s">
        <v>161</v>
      </c>
      <c r="R31" t="s">
        <v>31</v>
      </c>
      <c r="S31">
        <v>2025</v>
      </c>
      <c r="T31">
        <v>900437268</v>
      </c>
      <c r="U31" t="s">
        <v>39</v>
      </c>
    </row>
    <row r="32" spans="1:21" hidden="1" x14ac:dyDescent="0.25">
      <c r="A32" t="s">
        <v>21</v>
      </c>
      <c r="B32">
        <v>8000068</v>
      </c>
      <c r="C32" s="1">
        <v>45804</v>
      </c>
      <c r="D32">
        <v>8</v>
      </c>
      <c r="E32">
        <v>1</v>
      </c>
      <c r="F32">
        <v>999</v>
      </c>
      <c r="G32" t="s">
        <v>22</v>
      </c>
      <c r="J32">
        <v>24480501</v>
      </c>
      <c r="K32" t="s">
        <v>35</v>
      </c>
      <c r="L32">
        <v>800102891</v>
      </c>
      <c r="M32" t="s">
        <v>36</v>
      </c>
      <c r="N32" s="2">
        <v>6594803</v>
      </c>
      <c r="O32" s="2">
        <v>0</v>
      </c>
      <c r="P32" s="2">
        <v>65948</v>
      </c>
      <c r="Q32" t="s">
        <v>643</v>
      </c>
      <c r="R32" t="s">
        <v>200</v>
      </c>
      <c r="S32">
        <v>2025</v>
      </c>
      <c r="T32">
        <v>18145427</v>
      </c>
      <c r="U32" t="s">
        <v>70</v>
      </c>
    </row>
    <row r="33" spans="1:21" hidden="1" x14ac:dyDescent="0.25">
      <c r="A33" t="s">
        <v>93</v>
      </c>
      <c r="B33">
        <v>1002190</v>
      </c>
      <c r="C33" s="1">
        <v>45806</v>
      </c>
      <c r="D33">
        <v>1</v>
      </c>
      <c r="E33">
        <v>1</v>
      </c>
      <c r="F33">
        <v>999</v>
      </c>
      <c r="G33" t="s">
        <v>22</v>
      </c>
      <c r="J33">
        <v>24480501</v>
      </c>
      <c r="K33" t="s">
        <v>35</v>
      </c>
      <c r="L33">
        <v>800102891</v>
      </c>
      <c r="M33" t="s">
        <v>36</v>
      </c>
      <c r="N33" s="2">
        <v>2142985</v>
      </c>
      <c r="O33" s="2">
        <v>0</v>
      </c>
      <c r="P33" s="2">
        <v>21430</v>
      </c>
      <c r="Q33" t="s">
        <v>342</v>
      </c>
      <c r="R33" t="s">
        <v>38</v>
      </c>
      <c r="S33">
        <v>2025</v>
      </c>
      <c r="T33">
        <v>18127828</v>
      </c>
      <c r="U33" t="s">
        <v>205</v>
      </c>
    </row>
    <row r="34" spans="1:21" hidden="1" x14ac:dyDescent="0.25">
      <c r="A34" t="s">
        <v>21</v>
      </c>
      <c r="B34">
        <v>1001207</v>
      </c>
      <c r="C34" s="1">
        <v>45817</v>
      </c>
      <c r="D34">
        <v>1</v>
      </c>
      <c r="E34">
        <v>1</v>
      </c>
      <c r="F34">
        <v>999</v>
      </c>
      <c r="G34" t="s">
        <v>22</v>
      </c>
      <c r="J34">
        <v>24480501</v>
      </c>
      <c r="K34" t="s">
        <v>35</v>
      </c>
      <c r="L34">
        <v>800102891</v>
      </c>
      <c r="M34" t="s">
        <v>36</v>
      </c>
      <c r="N34" s="2">
        <v>480000</v>
      </c>
      <c r="O34" s="2">
        <v>0</v>
      </c>
      <c r="P34" s="2">
        <v>4800</v>
      </c>
      <c r="Q34" t="s">
        <v>519</v>
      </c>
      <c r="R34" t="s">
        <v>38</v>
      </c>
      <c r="S34">
        <v>2025</v>
      </c>
      <c r="T34">
        <v>900437268</v>
      </c>
      <c r="U34" t="s">
        <v>39</v>
      </c>
    </row>
    <row r="35" spans="1:21" hidden="1" x14ac:dyDescent="0.25">
      <c r="A35" t="s">
        <v>21</v>
      </c>
      <c r="B35">
        <v>1001232</v>
      </c>
      <c r="C35" s="1">
        <v>45818</v>
      </c>
      <c r="D35">
        <v>1</v>
      </c>
      <c r="E35">
        <v>1</v>
      </c>
      <c r="F35">
        <v>999</v>
      </c>
      <c r="G35" t="s">
        <v>22</v>
      </c>
      <c r="J35">
        <v>24480501</v>
      </c>
      <c r="K35" t="s">
        <v>35</v>
      </c>
      <c r="L35">
        <v>800102891</v>
      </c>
      <c r="M35" t="s">
        <v>36</v>
      </c>
      <c r="N35" s="2">
        <v>528000</v>
      </c>
      <c r="O35" s="2">
        <v>0</v>
      </c>
      <c r="P35" s="2">
        <v>5280</v>
      </c>
      <c r="Q35" t="s">
        <v>291</v>
      </c>
      <c r="R35" t="s">
        <v>200</v>
      </c>
      <c r="S35">
        <v>2025</v>
      </c>
      <c r="T35">
        <v>1010081868</v>
      </c>
      <c r="U35" t="s">
        <v>110</v>
      </c>
    </row>
    <row r="36" spans="1:21" hidden="1" x14ac:dyDescent="0.25">
      <c r="A36" t="s">
        <v>21</v>
      </c>
      <c r="B36">
        <v>1001259</v>
      </c>
      <c r="C36" s="1">
        <v>45821</v>
      </c>
      <c r="D36">
        <v>1</v>
      </c>
      <c r="E36">
        <v>1</v>
      </c>
      <c r="F36">
        <v>999</v>
      </c>
      <c r="G36" t="s">
        <v>22</v>
      </c>
      <c r="J36">
        <v>24480502</v>
      </c>
      <c r="K36" t="s">
        <v>106</v>
      </c>
      <c r="L36">
        <v>800102891</v>
      </c>
      <c r="M36" t="s">
        <v>36</v>
      </c>
      <c r="N36" s="2">
        <v>815388</v>
      </c>
      <c r="O36" s="2">
        <v>0</v>
      </c>
      <c r="P36" s="2">
        <v>4892</v>
      </c>
      <c r="Q36" t="s">
        <v>247</v>
      </c>
      <c r="R36" t="s">
        <v>38</v>
      </c>
      <c r="S36">
        <v>2025</v>
      </c>
      <c r="T36">
        <v>1006663258</v>
      </c>
      <c r="U36" t="s">
        <v>132</v>
      </c>
    </row>
    <row r="37" spans="1:21" hidden="1" x14ac:dyDescent="0.25">
      <c r="A37" t="s">
        <v>21</v>
      </c>
      <c r="B37">
        <v>1001295</v>
      </c>
      <c r="C37" s="1">
        <v>45825</v>
      </c>
      <c r="D37">
        <v>1</v>
      </c>
      <c r="E37">
        <v>1</v>
      </c>
      <c r="F37">
        <v>999</v>
      </c>
      <c r="G37" t="s">
        <v>22</v>
      </c>
      <c r="J37">
        <v>24480501</v>
      </c>
      <c r="K37" t="s">
        <v>35</v>
      </c>
      <c r="L37">
        <v>800102891</v>
      </c>
      <c r="M37" t="s">
        <v>36</v>
      </c>
      <c r="N37" s="2">
        <v>5200000</v>
      </c>
      <c r="O37" s="2">
        <v>0</v>
      </c>
      <c r="P37" s="2">
        <v>52000</v>
      </c>
      <c r="Q37" t="s">
        <v>358</v>
      </c>
      <c r="R37" t="s">
        <v>38</v>
      </c>
      <c r="S37">
        <v>2025</v>
      </c>
      <c r="T37">
        <v>1124861395</v>
      </c>
      <c r="U37" t="s">
        <v>359</v>
      </c>
    </row>
    <row r="38" spans="1:21" hidden="1" x14ac:dyDescent="0.25">
      <c r="A38" t="s">
        <v>21</v>
      </c>
      <c r="B38">
        <v>1001336</v>
      </c>
      <c r="C38" s="1">
        <v>45832</v>
      </c>
      <c r="D38">
        <v>1</v>
      </c>
      <c r="E38">
        <v>1</v>
      </c>
      <c r="F38">
        <v>999</v>
      </c>
      <c r="G38" t="s">
        <v>22</v>
      </c>
      <c r="J38">
        <v>24480501</v>
      </c>
      <c r="K38" t="s">
        <v>35</v>
      </c>
      <c r="L38">
        <v>800102891</v>
      </c>
      <c r="M38" t="s">
        <v>36</v>
      </c>
      <c r="N38" s="2">
        <v>6594803</v>
      </c>
      <c r="O38" s="2">
        <v>0</v>
      </c>
      <c r="P38" s="2">
        <v>65948</v>
      </c>
      <c r="Q38" t="s">
        <v>115</v>
      </c>
      <c r="R38" t="s">
        <v>38</v>
      </c>
      <c r="S38">
        <v>2025</v>
      </c>
      <c r="T38">
        <v>18145427</v>
      </c>
      <c r="U38" t="s">
        <v>70</v>
      </c>
    </row>
    <row r="39" spans="1:21" hidden="1" x14ac:dyDescent="0.25">
      <c r="A39" t="s">
        <v>21</v>
      </c>
      <c r="B39">
        <v>1001359</v>
      </c>
      <c r="C39" s="1">
        <v>45834</v>
      </c>
      <c r="D39">
        <v>1</v>
      </c>
      <c r="E39">
        <v>1</v>
      </c>
      <c r="F39">
        <v>999</v>
      </c>
      <c r="G39" t="s">
        <v>22</v>
      </c>
      <c r="J39">
        <v>24480501</v>
      </c>
      <c r="K39" t="s">
        <v>35</v>
      </c>
      <c r="L39">
        <v>800102891</v>
      </c>
      <c r="M39" t="s">
        <v>36</v>
      </c>
      <c r="N39" s="2">
        <v>623333</v>
      </c>
      <c r="O39" s="2">
        <v>0</v>
      </c>
      <c r="P39" s="2">
        <v>6233</v>
      </c>
      <c r="Q39" t="s">
        <v>96</v>
      </c>
      <c r="R39" t="s">
        <v>38</v>
      </c>
      <c r="S39">
        <v>2025</v>
      </c>
      <c r="T39">
        <v>80274379</v>
      </c>
      <c r="U39" t="s">
        <v>97</v>
      </c>
    </row>
    <row r="40" spans="1:21" hidden="1" x14ac:dyDescent="0.25">
      <c r="A40" t="s">
        <v>93</v>
      </c>
      <c r="B40">
        <v>1002687</v>
      </c>
      <c r="C40" s="1">
        <v>45835</v>
      </c>
      <c r="D40">
        <v>1</v>
      </c>
      <c r="E40">
        <v>1</v>
      </c>
      <c r="F40">
        <v>999</v>
      </c>
      <c r="G40" t="s">
        <v>22</v>
      </c>
      <c r="J40">
        <v>24480501</v>
      </c>
      <c r="K40" t="s">
        <v>35</v>
      </c>
      <c r="L40">
        <v>800102891</v>
      </c>
      <c r="M40" t="s">
        <v>36</v>
      </c>
      <c r="N40" s="2">
        <v>2142985</v>
      </c>
      <c r="O40" s="2">
        <v>0</v>
      </c>
      <c r="P40" s="2">
        <v>21430</v>
      </c>
      <c r="Q40" t="s">
        <v>325</v>
      </c>
      <c r="R40" t="s">
        <v>38</v>
      </c>
      <c r="S40">
        <v>2025</v>
      </c>
      <c r="T40">
        <v>18127828</v>
      </c>
      <c r="U40" t="s">
        <v>205</v>
      </c>
    </row>
    <row r="41" spans="1:21" hidden="1" x14ac:dyDescent="0.25">
      <c r="A41" t="s">
        <v>21</v>
      </c>
      <c r="B41">
        <v>1001420</v>
      </c>
      <c r="C41" s="1">
        <v>45841</v>
      </c>
      <c r="D41">
        <v>1</v>
      </c>
      <c r="E41">
        <v>1</v>
      </c>
      <c r="F41">
        <v>999</v>
      </c>
      <c r="G41" t="s">
        <v>22</v>
      </c>
      <c r="J41">
        <v>24480502</v>
      </c>
      <c r="K41" t="s">
        <v>106</v>
      </c>
      <c r="L41">
        <v>800102891</v>
      </c>
      <c r="M41" t="s">
        <v>36</v>
      </c>
      <c r="N41" s="2">
        <v>542231</v>
      </c>
      <c r="O41" s="2">
        <v>0</v>
      </c>
      <c r="P41" s="2">
        <v>3253</v>
      </c>
      <c r="Q41" t="s">
        <v>145</v>
      </c>
      <c r="R41" t="s">
        <v>38</v>
      </c>
      <c r="S41">
        <v>2025</v>
      </c>
      <c r="T41">
        <v>18125023</v>
      </c>
      <c r="U41" t="s">
        <v>146</v>
      </c>
    </row>
    <row r="42" spans="1:21" hidden="1" x14ac:dyDescent="0.25">
      <c r="A42" t="s">
        <v>21</v>
      </c>
      <c r="B42">
        <v>1001434</v>
      </c>
      <c r="C42" s="1">
        <v>45842</v>
      </c>
      <c r="D42">
        <v>1</v>
      </c>
      <c r="E42">
        <v>1</v>
      </c>
      <c r="F42">
        <v>999</v>
      </c>
      <c r="G42" t="s">
        <v>22</v>
      </c>
      <c r="J42">
        <v>24480501</v>
      </c>
      <c r="K42" t="s">
        <v>35</v>
      </c>
      <c r="L42">
        <v>800102891</v>
      </c>
      <c r="M42" t="s">
        <v>36</v>
      </c>
      <c r="N42" s="2">
        <v>505100</v>
      </c>
      <c r="O42" s="2">
        <v>0</v>
      </c>
      <c r="P42" s="2">
        <v>5051</v>
      </c>
      <c r="Q42" t="s">
        <v>211</v>
      </c>
      <c r="R42" t="s">
        <v>168</v>
      </c>
      <c r="S42">
        <v>2025</v>
      </c>
      <c r="T42">
        <v>1124852279</v>
      </c>
      <c r="U42" t="s">
        <v>212</v>
      </c>
    </row>
    <row r="43" spans="1:21" hidden="1" x14ac:dyDescent="0.25">
      <c r="A43" t="s">
        <v>21</v>
      </c>
      <c r="B43">
        <v>1001434</v>
      </c>
      <c r="C43" s="1">
        <v>45842</v>
      </c>
      <c r="D43">
        <v>1</v>
      </c>
      <c r="E43">
        <v>1</v>
      </c>
      <c r="F43">
        <v>999</v>
      </c>
      <c r="G43" t="s">
        <v>22</v>
      </c>
      <c r="J43">
        <v>24480501</v>
      </c>
      <c r="K43" t="s">
        <v>35</v>
      </c>
      <c r="L43">
        <v>800102891</v>
      </c>
      <c r="M43" t="s">
        <v>36</v>
      </c>
      <c r="N43" s="2">
        <v>705000</v>
      </c>
      <c r="O43" s="2">
        <v>0</v>
      </c>
      <c r="P43" s="2">
        <v>7050</v>
      </c>
      <c r="Q43" t="s">
        <v>211</v>
      </c>
      <c r="R43" t="s">
        <v>168</v>
      </c>
      <c r="S43">
        <v>2025</v>
      </c>
      <c r="T43">
        <v>41101376</v>
      </c>
      <c r="U43" t="s">
        <v>585</v>
      </c>
    </row>
    <row r="44" spans="1:21" hidden="1" x14ac:dyDescent="0.25">
      <c r="A44" t="s">
        <v>21</v>
      </c>
      <c r="B44">
        <v>1001463</v>
      </c>
      <c r="C44" s="1">
        <v>45846</v>
      </c>
      <c r="D44">
        <v>1</v>
      </c>
      <c r="E44">
        <v>1</v>
      </c>
      <c r="F44">
        <v>999</v>
      </c>
      <c r="G44" t="s">
        <v>22</v>
      </c>
      <c r="J44">
        <v>24480501</v>
      </c>
      <c r="K44" t="s">
        <v>35</v>
      </c>
      <c r="L44">
        <v>800102891</v>
      </c>
      <c r="M44" t="s">
        <v>36</v>
      </c>
      <c r="N44" s="2">
        <v>480000</v>
      </c>
      <c r="O44" s="2">
        <v>0</v>
      </c>
      <c r="P44" s="2">
        <v>4800</v>
      </c>
      <c r="Q44" t="s">
        <v>37</v>
      </c>
      <c r="R44" t="s">
        <v>38</v>
      </c>
      <c r="S44">
        <v>2025</v>
      </c>
      <c r="T44">
        <v>900437268</v>
      </c>
      <c r="U44" t="s">
        <v>39</v>
      </c>
    </row>
    <row r="45" spans="1:21" hidden="1" x14ac:dyDescent="0.25">
      <c r="A45" t="s">
        <v>21</v>
      </c>
      <c r="B45">
        <v>1001545</v>
      </c>
      <c r="C45" s="1">
        <v>45855</v>
      </c>
      <c r="D45">
        <v>1</v>
      </c>
      <c r="E45">
        <v>1</v>
      </c>
      <c r="F45">
        <v>999</v>
      </c>
      <c r="G45" t="s">
        <v>22</v>
      </c>
      <c r="J45">
        <v>24480501</v>
      </c>
      <c r="K45" t="s">
        <v>35</v>
      </c>
      <c r="L45">
        <v>800102891</v>
      </c>
      <c r="M45" t="s">
        <v>36</v>
      </c>
      <c r="N45" s="2">
        <v>770000</v>
      </c>
      <c r="O45" s="2">
        <v>0</v>
      </c>
      <c r="P45" s="2">
        <v>7700</v>
      </c>
      <c r="Q45" t="s">
        <v>553</v>
      </c>
      <c r="R45" t="s">
        <v>31</v>
      </c>
      <c r="S45">
        <v>2025</v>
      </c>
      <c r="T45">
        <v>846001061</v>
      </c>
      <c r="U45" t="s">
        <v>554</v>
      </c>
    </row>
    <row r="46" spans="1:21" hidden="1" x14ac:dyDescent="0.25">
      <c r="A46" t="s">
        <v>21</v>
      </c>
      <c r="B46">
        <v>1001587</v>
      </c>
      <c r="C46" s="1">
        <v>45862</v>
      </c>
      <c r="D46">
        <v>1</v>
      </c>
      <c r="E46">
        <v>1</v>
      </c>
      <c r="F46">
        <v>999</v>
      </c>
      <c r="G46" t="s">
        <v>22</v>
      </c>
      <c r="J46">
        <v>24480502</v>
      </c>
      <c r="K46" t="s">
        <v>106</v>
      </c>
      <c r="L46">
        <v>800102891</v>
      </c>
      <c r="M46" t="s">
        <v>36</v>
      </c>
      <c r="N46" s="2">
        <v>6015966</v>
      </c>
      <c r="O46" s="2">
        <v>0</v>
      </c>
      <c r="P46" s="2">
        <v>36096</v>
      </c>
      <c r="Q46" t="s">
        <v>210</v>
      </c>
      <c r="R46" t="s">
        <v>31</v>
      </c>
      <c r="S46">
        <v>2025</v>
      </c>
      <c r="T46">
        <v>901452326</v>
      </c>
      <c r="U46" t="s">
        <v>102</v>
      </c>
    </row>
    <row r="47" spans="1:21" hidden="1" x14ac:dyDescent="0.25">
      <c r="A47" t="s">
        <v>21</v>
      </c>
      <c r="B47">
        <v>1001588</v>
      </c>
      <c r="C47" s="1">
        <v>45863</v>
      </c>
      <c r="D47">
        <v>1</v>
      </c>
      <c r="E47">
        <v>1</v>
      </c>
      <c r="F47">
        <v>999</v>
      </c>
      <c r="G47" t="s">
        <v>22</v>
      </c>
      <c r="J47">
        <v>24480501</v>
      </c>
      <c r="K47" t="s">
        <v>35</v>
      </c>
      <c r="L47">
        <v>800102891</v>
      </c>
      <c r="M47" t="s">
        <v>36</v>
      </c>
      <c r="N47" s="2">
        <v>1320000</v>
      </c>
      <c r="O47" s="2">
        <v>0</v>
      </c>
      <c r="P47" s="2">
        <v>13200</v>
      </c>
      <c r="Q47" t="s">
        <v>445</v>
      </c>
      <c r="R47" t="s">
        <v>31</v>
      </c>
      <c r="S47">
        <v>2025</v>
      </c>
      <c r="T47">
        <v>18126542</v>
      </c>
      <c r="U47" t="s">
        <v>446</v>
      </c>
    </row>
    <row r="48" spans="1:21" hidden="1" x14ac:dyDescent="0.25">
      <c r="A48" t="s">
        <v>21</v>
      </c>
      <c r="B48">
        <v>1001591</v>
      </c>
      <c r="C48" s="1">
        <v>45863</v>
      </c>
      <c r="D48">
        <v>1</v>
      </c>
      <c r="E48">
        <v>1</v>
      </c>
      <c r="F48">
        <v>999</v>
      </c>
      <c r="G48" t="s">
        <v>22</v>
      </c>
      <c r="J48">
        <v>24480501</v>
      </c>
      <c r="K48" t="s">
        <v>35</v>
      </c>
      <c r="L48">
        <v>800102891</v>
      </c>
      <c r="M48" t="s">
        <v>36</v>
      </c>
      <c r="N48" s="2">
        <v>6594803</v>
      </c>
      <c r="O48" s="2">
        <v>0</v>
      </c>
      <c r="P48" s="2">
        <v>65948</v>
      </c>
      <c r="Q48" t="s">
        <v>547</v>
      </c>
      <c r="R48" t="s">
        <v>31</v>
      </c>
      <c r="S48">
        <v>2025</v>
      </c>
      <c r="T48">
        <v>18145427</v>
      </c>
      <c r="U48" t="s">
        <v>70</v>
      </c>
    </row>
    <row r="49" spans="1:21" hidden="1" x14ac:dyDescent="0.25">
      <c r="A49" t="s">
        <v>21</v>
      </c>
      <c r="B49">
        <v>1001589</v>
      </c>
      <c r="C49" s="1">
        <v>45863</v>
      </c>
      <c r="D49">
        <v>1</v>
      </c>
      <c r="E49">
        <v>1</v>
      </c>
      <c r="F49">
        <v>999</v>
      </c>
      <c r="G49" t="s">
        <v>22</v>
      </c>
      <c r="J49">
        <v>24480501</v>
      </c>
      <c r="K49" t="s">
        <v>35</v>
      </c>
      <c r="L49">
        <v>800102891</v>
      </c>
      <c r="M49" t="s">
        <v>36</v>
      </c>
      <c r="N49" s="2">
        <v>225000</v>
      </c>
      <c r="O49" s="2">
        <v>0</v>
      </c>
      <c r="P49" s="2">
        <v>2250</v>
      </c>
      <c r="Q49" t="s">
        <v>666</v>
      </c>
      <c r="R49" t="s">
        <v>200</v>
      </c>
      <c r="S49">
        <v>2025</v>
      </c>
      <c r="T49">
        <v>87101363</v>
      </c>
      <c r="U49" t="s">
        <v>667</v>
      </c>
    </row>
    <row r="50" spans="1:21" hidden="1" x14ac:dyDescent="0.25">
      <c r="A50" t="s">
        <v>21</v>
      </c>
      <c r="B50">
        <v>1001595</v>
      </c>
      <c r="C50" s="1">
        <v>45866</v>
      </c>
      <c r="D50">
        <v>1</v>
      </c>
      <c r="E50">
        <v>1</v>
      </c>
      <c r="F50">
        <v>999</v>
      </c>
      <c r="G50" t="s">
        <v>22</v>
      </c>
      <c r="J50">
        <v>24480502</v>
      </c>
      <c r="K50" t="s">
        <v>106</v>
      </c>
      <c r="L50">
        <v>800102891</v>
      </c>
      <c r="M50" t="s">
        <v>36</v>
      </c>
      <c r="N50" s="2">
        <v>1294819</v>
      </c>
      <c r="O50" s="2">
        <v>0</v>
      </c>
      <c r="P50" s="2">
        <v>7768</v>
      </c>
      <c r="Q50" t="s">
        <v>545</v>
      </c>
      <c r="R50" t="s">
        <v>168</v>
      </c>
      <c r="S50">
        <v>2025</v>
      </c>
      <c r="T50">
        <v>814000143</v>
      </c>
      <c r="U50" t="s">
        <v>546</v>
      </c>
    </row>
    <row r="51" spans="1:21" hidden="1" x14ac:dyDescent="0.25">
      <c r="A51" t="s">
        <v>21</v>
      </c>
      <c r="B51">
        <v>1001613</v>
      </c>
      <c r="C51" s="1">
        <v>45868</v>
      </c>
      <c r="D51">
        <v>1</v>
      </c>
      <c r="E51">
        <v>1</v>
      </c>
      <c r="F51">
        <v>999</v>
      </c>
      <c r="G51" t="s">
        <v>22</v>
      </c>
      <c r="J51">
        <v>24480501</v>
      </c>
      <c r="K51" t="s">
        <v>35</v>
      </c>
      <c r="L51">
        <v>800102891</v>
      </c>
      <c r="M51" t="s">
        <v>36</v>
      </c>
      <c r="N51" s="2">
        <v>1010000</v>
      </c>
      <c r="O51" s="2">
        <v>0</v>
      </c>
      <c r="P51" s="2">
        <v>10100</v>
      </c>
      <c r="Q51" t="s">
        <v>368</v>
      </c>
      <c r="R51" t="s">
        <v>38</v>
      </c>
      <c r="S51">
        <v>2025</v>
      </c>
      <c r="T51">
        <v>1010081868</v>
      </c>
      <c r="U51" t="s">
        <v>110</v>
      </c>
    </row>
    <row r="52" spans="1:21" hidden="1" x14ac:dyDescent="0.25">
      <c r="A52" t="s">
        <v>93</v>
      </c>
      <c r="B52">
        <v>1003216</v>
      </c>
      <c r="C52" s="1">
        <v>45868</v>
      </c>
      <c r="D52">
        <v>1</v>
      </c>
      <c r="E52">
        <v>1</v>
      </c>
      <c r="F52">
        <v>999</v>
      </c>
      <c r="G52" t="s">
        <v>22</v>
      </c>
      <c r="J52">
        <v>24480501</v>
      </c>
      <c r="K52" t="s">
        <v>35</v>
      </c>
      <c r="L52">
        <v>800102891</v>
      </c>
      <c r="M52" t="s">
        <v>36</v>
      </c>
      <c r="N52" s="2">
        <v>2142984</v>
      </c>
      <c r="O52" s="2">
        <v>0</v>
      </c>
      <c r="P52" s="2">
        <v>21430</v>
      </c>
      <c r="Q52" t="s">
        <v>608</v>
      </c>
      <c r="R52" t="s">
        <v>200</v>
      </c>
      <c r="S52">
        <v>2025</v>
      </c>
      <c r="T52">
        <v>18127828</v>
      </c>
      <c r="U52" t="s">
        <v>205</v>
      </c>
    </row>
    <row r="53" spans="1:21" hidden="1" x14ac:dyDescent="0.25">
      <c r="A53" t="s">
        <v>21</v>
      </c>
      <c r="B53">
        <v>1001785</v>
      </c>
      <c r="C53" s="1">
        <v>45881</v>
      </c>
      <c r="D53">
        <v>1</v>
      </c>
      <c r="E53">
        <v>1</v>
      </c>
      <c r="F53">
        <v>999</v>
      </c>
      <c r="G53" t="s">
        <v>22</v>
      </c>
      <c r="J53">
        <v>24480501</v>
      </c>
      <c r="K53" t="s">
        <v>35</v>
      </c>
      <c r="L53">
        <v>800102891</v>
      </c>
      <c r="M53" t="s">
        <v>36</v>
      </c>
      <c r="N53" s="2">
        <v>480000</v>
      </c>
      <c r="O53" s="2">
        <v>0</v>
      </c>
      <c r="P53" s="2">
        <v>4800</v>
      </c>
      <c r="Q53" t="s">
        <v>327</v>
      </c>
      <c r="R53" t="s">
        <v>31</v>
      </c>
      <c r="S53">
        <v>2025</v>
      </c>
      <c r="T53">
        <v>900437268</v>
      </c>
      <c r="U53" t="s">
        <v>39</v>
      </c>
    </row>
    <row r="54" spans="1:21" hidden="1" x14ac:dyDescent="0.25">
      <c r="A54" t="s">
        <v>21</v>
      </c>
      <c r="B54">
        <v>1001776</v>
      </c>
      <c r="C54" s="1">
        <v>45881</v>
      </c>
      <c r="D54">
        <v>1</v>
      </c>
      <c r="E54">
        <v>1</v>
      </c>
      <c r="F54">
        <v>999</v>
      </c>
      <c r="G54" t="s">
        <v>22</v>
      </c>
      <c r="J54">
        <v>24480501</v>
      </c>
      <c r="K54" t="s">
        <v>35</v>
      </c>
      <c r="L54">
        <v>800102891</v>
      </c>
      <c r="M54" t="s">
        <v>36</v>
      </c>
      <c r="N54" s="2">
        <v>1295000</v>
      </c>
      <c r="O54" s="2">
        <v>0</v>
      </c>
      <c r="P54" s="2">
        <v>12950</v>
      </c>
      <c r="Q54" t="s">
        <v>575</v>
      </c>
      <c r="R54" t="s">
        <v>31</v>
      </c>
      <c r="S54">
        <v>2025</v>
      </c>
      <c r="T54">
        <v>1010081868</v>
      </c>
      <c r="U54" t="s">
        <v>110</v>
      </c>
    </row>
    <row r="55" spans="1:21" hidden="1" x14ac:dyDescent="0.25">
      <c r="A55" t="s">
        <v>21</v>
      </c>
      <c r="B55">
        <v>1001836</v>
      </c>
      <c r="C55" s="1">
        <v>45884</v>
      </c>
      <c r="D55">
        <v>1</v>
      </c>
      <c r="E55">
        <v>1</v>
      </c>
      <c r="F55">
        <v>999</v>
      </c>
      <c r="G55" t="s">
        <v>22</v>
      </c>
      <c r="J55">
        <v>24480502</v>
      </c>
      <c r="K55" t="s">
        <v>106</v>
      </c>
      <c r="L55">
        <v>800102891</v>
      </c>
      <c r="M55" t="s">
        <v>36</v>
      </c>
      <c r="N55" s="2">
        <v>580000</v>
      </c>
      <c r="O55" s="2">
        <v>0</v>
      </c>
      <c r="P55" s="2">
        <v>3480</v>
      </c>
      <c r="Q55" t="s">
        <v>448</v>
      </c>
      <c r="R55" t="s">
        <v>31</v>
      </c>
      <c r="S55">
        <v>2025</v>
      </c>
      <c r="T55">
        <v>1083896745</v>
      </c>
      <c r="U55" t="s">
        <v>449</v>
      </c>
    </row>
    <row r="56" spans="1:21" hidden="1" x14ac:dyDescent="0.25">
      <c r="A56" t="s">
        <v>21</v>
      </c>
      <c r="B56">
        <v>1001839</v>
      </c>
      <c r="C56" s="1">
        <v>45884</v>
      </c>
      <c r="D56">
        <v>1</v>
      </c>
      <c r="E56">
        <v>1</v>
      </c>
      <c r="F56">
        <v>999</v>
      </c>
      <c r="G56" t="s">
        <v>22</v>
      </c>
      <c r="J56">
        <v>24480502</v>
      </c>
      <c r="K56" t="s">
        <v>106</v>
      </c>
      <c r="L56">
        <v>800102891</v>
      </c>
      <c r="M56" t="s">
        <v>36</v>
      </c>
      <c r="N56" s="2">
        <v>793000</v>
      </c>
      <c r="O56" s="2">
        <v>0</v>
      </c>
      <c r="P56" s="2">
        <v>4758</v>
      </c>
      <c r="Q56" t="s">
        <v>619</v>
      </c>
      <c r="R56" t="s">
        <v>31</v>
      </c>
      <c r="S56">
        <v>2025</v>
      </c>
      <c r="T56">
        <v>18125023</v>
      </c>
      <c r="U56" t="s">
        <v>146</v>
      </c>
    </row>
    <row r="57" spans="1:21" hidden="1" x14ac:dyDescent="0.25">
      <c r="A57" t="s">
        <v>21</v>
      </c>
      <c r="B57">
        <v>1001846</v>
      </c>
      <c r="C57" s="1">
        <v>45888</v>
      </c>
      <c r="D57">
        <v>1</v>
      </c>
      <c r="E57">
        <v>1</v>
      </c>
      <c r="F57">
        <v>999</v>
      </c>
      <c r="G57" t="s">
        <v>22</v>
      </c>
      <c r="J57">
        <v>24480501</v>
      </c>
      <c r="K57" t="s">
        <v>35</v>
      </c>
      <c r="L57">
        <v>800102891</v>
      </c>
      <c r="M57" t="s">
        <v>36</v>
      </c>
      <c r="N57" s="2">
        <v>2200000</v>
      </c>
      <c r="O57" s="2">
        <v>0</v>
      </c>
      <c r="P57" s="2">
        <v>22000</v>
      </c>
      <c r="Q57" t="s">
        <v>73</v>
      </c>
      <c r="R57" t="s">
        <v>38</v>
      </c>
      <c r="S57">
        <v>2025</v>
      </c>
      <c r="T57">
        <v>18130206</v>
      </c>
      <c r="U57" t="s">
        <v>74</v>
      </c>
    </row>
    <row r="58" spans="1:21" hidden="1" x14ac:dyDescent="0.25">
      <c r="A58" t="s">
        <v>21</v>
      </c>
      <c r="B58">
        <v>1001865</v>
      </c>
      <c r="C58" s="1">
        <v>45890</v>
      </c>
      <c r="D58">
        <v>1</v>
      </c>
      <c r="E58">
        <v>1</v>
      </c>
      <c r="F58">
        <v>999</v>
      </c>
      <c r="G58" t="s">
        <v>22</v>
      </c>
      <c r="J58">
        <v>24480501</v>
      </c>
      <c r="K58" t="s">
        <v>35</v>
      </c>
      <c r="L58">
        <v>800102891</v>
      </c>
      <c r="M58" t="s">
        <v>36</v>
      </c>
      <c r="N58" s="2">
        <v>850000</v>
      </c>
      <c r="O58" s="2">
        <v>0</v>
      </c>
      <c r="P58" s="2">
        <v>8500</v>
      </c>
      <c r="Q58" t="s">
        <v>573</v>
      </c>
      <c r="R58" t="s">
        <v>38</v>
      </c>
      <c r="S58">
        <v>2025</v>
      </c>
      <c r="T58">
        <v>1010081868</v>
      </c>
      <c r="U58" t="s">
        <v>110</v>
      </c>
    </row>
    <row r="59" spans="1:21" hidden="1" x14ac:dyDescent="0.25">
      <c r="A59" t="s">
        <v>21</v>
      </c>
      <c r="B59">
        <v>1001884</v>
      </c>
      <c r="C59" s="1">
        <v>45894</v>
      </c>
      <c r="D59">
        <v>1</v>
      </c>
      <c r="E59">
        <v>1</v>
      </c>
      <c r="F59">
        <v>999</v>
      </c>
      <c r="G59" t="s">
        <v>22</v>
      </c>
      <c r="J59">
        <v>24480501</v>
      </c>
      <c r="K59" t="s">
        <v>35</v>
      </c>
      <c r="L59">
        <v>800102891</v>
      </c>
      <c r="M59" t="s">
        <v>36</v>
      </c>
      <c r="N59" s="2">
        <v>920000</v>
      </c>
      <c r="O59" s="2">
        <v>0</v>
      </c>
      <c r="P59" s="2">
        <v>9200</v>
      </c>
      <c r="Q59" t="s">
        <v>384</v>
      </c>
      <c r="R59" t="s">
        <v>38</v>
      </c>
      <c r="S59">
        <v>2025</v>
      </c>
      <c r="T59">
        <v>69009268</v>
      </c>
      <c r="U59" t="s">
        <v>385</v>
      </c>
    </row>
    <row r="60" spans="1:21" hidden="1" x14ac:dyDescent="0.25">
      <c r="A60" t="s">
        <v>93</v>
      </c>
      <c r="B60">
        <v>1003503</v>
      </c>
      <c r="C60" s="1">
        <v>45894</v>
      </c>
      <c r="D60">
        <v>1</v>
      </c>
      <c r="E60">
        <v>1</v>
      </c>
      <c r="F60">
        <v>999</v>
      </c>
      <c r="G60" t="s">
        <v>22</v>
      </c>
      <c r="J60">
        <v>24480501</v>
      </c>
      <c r="K60" t="s">
        <v>35</v>
      </c>
      <c r="L60">
        <v>800102891</v>
      </c>
      <c r="M60" t="s">
        <v>36</v>
      </c>
      <c r="N60" s="2">
        <v>2142985</v>
      </c>
      <c r="O60" s="2">
        <v>0</v>
      </c>
      <c r="P60" s="2">
        <v>21430</v>
      </c>
      <c r="Q60" t="s">
        <v>674</v>
      </c>
      <c r="R60" t="s">
        <v>38</v>
      </c>
      <c r="S60">
        <v>2025</v>
      </c>
      <c r="T60">
        <v>18127828</v>
      </c>
      <c r="U60" t="s">
        <v>205</v>
      </c>
    </row>
    <row r="61" spans="1:21" hidden="1" x14ac:dyDescent="0.25">
      <c r="A61" t="s">
        <v>21</v>
      </c>
      <c r="B61">
        <v>1001896</v>
      </c>
      <c r="C61" s="1">
        <v>45895</v>
      </c>
      <c r="D61">
        <v>1</v>
      </c>
      <c r="E61">
        <v>1</v>
      </c>
      <c r="F61">
        <v>999</v>
      </c>
      <c r="G61" t="s">
        <v>22</v>
      </c>
      <c r="J61">
        <v>24480501</v>
      </c>
      <c r="K61" t="s">
        <v>35</v>
      </c>
      <c r="L61">
        <v>800102891</v>
      </c>
      <c r="M61" t="s">
        <v>36</v>
      </c>
      <c r="N61" s="2">
        <v>6594803</v>
      </c>
      <c r="O61" s="2">
        <v>0</v>
      </c>
      <c r="P61" s="2">
        <v>65948</v>
      </c>
      <c r="Q61" t="s">
        <v>276</v>
      </c>
      <c r="R61" t="s">
        <v>38</v>
      </c>
      <c r="S61">
        <v>2025</v>
      </c>
      <c r="T61">
        <v>18145427</v>
      </c>
      <c r="U61" t="s">
        <v>70</v>
      </c>
    </row>
    <row r="62" spans="1:21" hidden="1" x14ac:dyDescent="0.25">
      <c r="A62" t="s">
        <v>21</v>
      </c>
      <c r="B62">
        <v>1001915</v>
      </c>
      <c r="C62" s="1">
        <v>45898</v>
      </c>
      <c r="D62">
        <v>1</v>
      </c>
      <c r="E62">
        <v>1</v>
      </c>
      <c r="F62">
        <v>999</v>
      </c>
      <c r="G62" t="s">
        <v>22</v>
      </c>
      <c r="J62">
        <v>24480501</v>
      </c>
      <c r="K62" t="s">
        <v>35</v>
      </c>
      <c r="L62">
        <v>800102891</v>
      </c>
      <c r="M62" t="s">
        <v>36</v>
      </c>
      <c r="N62" s="2">
        <v>200000</v>
      </c>
      <c r="O62" s="2">
        <v>0</v>
      </c>
      <c r="P62" s="2">
        <v>2000</v>
      </c>
      <c r="Q62" t="s">
        <v>539</v>
      </c>
      <c r="R62" t="s">
        <v>168</v>
      </c>
      <c r="S62">
        <v>2025</v>
      </c>
      <c r="T62">
        <v>18127050</v>
      </c>
      <c r="U62" t="s">
        <v>540</v>
      </c>
    </row>
    <row r="63" spans="1:21" hidden="1" x14ac:dyDescent="0.25">
      <c r="A63" t="s">
        <v>21</v>
      </c>
      <c r="B63">
        <v>1001950</v>
      </c>
      <c r="C63" s="1">
        <v>45902</v>
      </c>
      <c r="D63">
        <v>1</v>
      </c>
      <c r="E63">
        <v>1</v>
      </c>
      <c r="F63">
        <v>999</v>
      </c>
      <c r="G63" t="s">
        <v>22</v>
      </c>
      <c r="J63">
        <v>24480502</v>
      </c>
      <c r="K63" t="s">
        <v>106</v>
      </c>
      <c r="L63">
        <v>800102891</v>
      </c>
      <c r="M63" t="s">
        <v>36</v>
      </c>
      <c r="N63" s="2">
        <v>1460504</v>
      </c>
      <c r="O63" s="2">
        <v>0</v>
      </c>
      <c r="P63" s="2">
        <v>8763</v>
      </c>
      <c r="Q63" t="s">
        <v>577</v>
      </c>
      <c r="R63" t="s">
        <v>38</v>
      </c>
      <c r="S63">
        <v>2025</v>
      </c>
      <c r="T63">
        <v>40079253</v>
      </c>
      <c r="U63" t="s">
        <v>578</v>
      </c>
    </row>
    <row r="64" spans="1:21" hidden="1" x14ac:dyDescent="0.25">
      <c r="A64" t="s">
        <v>21</v>
      </c>
      <c r="B64">
        <v>1001975</v>
      </c>
      <c r="C64" s="1">
        <v>45904</v>
      </c>
      <c r="D64">
        <v>1</v>
      </c>
      <c r="E64">
        <v>1</v>
      </c>
      <c r="F64">
        <v>999</v>
      </c>
      <c r="G64" t="s">
        <v>22</v>
      </c>
      <c r="J64">
        <v>24480501</v>
      </c>
      <c r="K64" t="s">
        <v>35</v>
      </c>
      <c r="L64">
        <v>800102891</v>
      </c>
      <c r="M64" t="s">
        <v>36</v>
      </c>
      <c r="N64" s="2">
        <v>480000</v>
      </c>
      <c r="O64" s="2">
        <v>0</v>
      </c>
      <c r="P64" s="2">
        <v>4800</v>
      </c>
      <c r="Q64" t="s">
        <v>529</v>
      </c>
      <c r="R64" t="s">
        <v>38</v>
      </c>
      <c r="S64">
        <v>2025</v>
      </c>
      <c r="T64">
        <v>900437268</v>
      </c>
      <c r="U64" t="s">
        <v>39</v>
      </c>
    </row>
    <row r="65" spans="1:21" hidden="1" x14ac:dyDescent="0.25">
      <c r="A65" t="s">
        <v>21</v>
      </c>
      <c r="B65">
        <v>1002137</v>
      </c>
      <c r="C65" s="1">
        <v>45922</v>
      </c>
      <c r="D65">
        <v>1</v>
      </c>
      <c r="E65">
        <v>1</v>
      </c>
      <c r="F65">
        <v>999</v>
      </c>
      <c r="G65" t="s">
        <v>22</v>
      </c>
      <c r="J65">
        <v>24480502</v>
      </c>
      <c r="K65" t="s">
        <v>106</v>
      </c>
      <c r="L65">
        <v>800102891</v>
      </c>
      <c r="M65" t="s">
        <v>36</v>
      </c>
      <c r="N65" s="2">
        <v>772000</v>
      </c>
      <c r="O65" s="2">
        <v>0</v>
      </c>
      <c r="P65" s="2">
        <v>4632</v>
      </c>
      <c r="Q65" t="s">
        <v>668</v>
      </c>
      <c r="R65" t="s">
        <v>38</v>
      </c>
      <c r="S65">
        <v>2025</v>
      </c>
      <c r="T65">
        <v>18127030</v>
      </c>
      <c r="U65" t="s">
        <v>669</v>
      </c>
    </row>
    <row r="66" spans="1:21" hidden="1" x14ac:dyDescent="0.25">
      <c r="A66" t="s">
        <v>21</v>
      </c>
      <c r="B66">
        <v>1002176</v>
      </c>
      <c r="C66" s="1">
        <v>45929</v>
      </c>
      <c r="D66">
        <v>1</v>
      </c>
      <c r="E66">
        <v>1</v>
      </c>
      <c r="F66">
        <v>999</v>
      </c>
      <c r="G66" t="s">
        <v>22</v>
      </c>
      <c r="J66">
        <v>24480501</v>
      </c>
      <c r="K66" t="s">
        <v>35</v>
      </c>
      <c r="L66">
        <v>800102891</v>
      </c>
      <c r="M66" t="s">
        <v>36</v>
      </c>
      <c r="N66" s="2">
        <v>6594803</v>
      </c>
      <c r="O66" s="2">
        <v>0</v>
      </c>
      <c r="P66" s="2">
        <v>65948</v>
      </c>
      <c r="Q66" t="s">
        <v>69</v>
      </c>
      <c r="R66" t="s">
        <v>38</v>
      </c>
      <c r="S66">
        <v>2025</v>
      </c>
      <c r="T66">
        <v>18145427</v>
      </c>
      <c r="U66" t="s">
        <v>70</v>
      </c>
    </row>
    <row r="67" spans="1:21" hidden="1" x14ac:dyDescent="0.25">
      <c r="A67" t="s">
        <v>93</v>
      </c>
      <c r="B67">
        <v>1004019</v>
      </c>
      <c r="C67" s="1">
        <v>45929</v>
      </c>
      <c r="D67">
        <v>1</v>
      </c>
      <c r="E67">
        <v>1</v>
      </c>
      <c r="F67">
        <v>999</v>
      </c>
      <c r="G67" t="s">
        <v>22</v>
      </c>
      <c r="J67">
        <v>24480501</v>
      </c>
      <c r="K67" t="s">
        <v>35</v>
      </c>
      <c r="L67">
        <v>800102891</v>
      </c>
      <c r="M67" t="s">
        <v>36</v>
      </c>
      <c r="N67" s="2">
        <v>2142985</v>
      </c>
      <c r="O67" s="2">
        <v>0</v>
      </c>
      <c r="P67" s="2">
        <v>21430</v>
      </c>
      <c r="Q67" t="s">
        <v>204</v>
      </c>
      <c r="R67" t="s">
        <v>38</v>
      </c>
      <c r="S67">
        <v>2025</v>
      </c>
      <c r="T67">
        <v>18127828</v>
      </c>
      <c r="U67" t="s">
        <v>205</v>
      </c>
    </row>
    <row r="68" spans="1:21" hidden="1" x14ac:dyDescent="0.25">
      <c r="A68" t="s">
        <v>21</v>
      </c>
      <c r="B68">
        <v>1002229</v>
      </c>
      <c r="C68" s="1">
        <v>45936</v>
      </c>
      <c r="D68">
        <v>1</v>
      </c>
      <c r="E68">
        <v>1</v>
      </c>
      <c r="F68">
        <v>999</v>
      </c>
      <c r="G68" t="s">
        <v>22</v>
      </c>
      <c r="J68">
        <v>24480501</v>
      </c>
      <c r="K68" t="s">
        <v>35</v>
      </c>
      <c r="L68">
        <v>800102891</v>
      </c>
      <c r="M68" t="s">
        <v>36</v>
      </c>
      <c r="N68" s="2">
        <v>480000</v>
      </c>
      <c r="O68" s="2">
        <v>0</v>
      </c>
      <c r="P68" s="2">
        <v>4800</v>
      </c>
      <c r="Q68" t="s">
        <v>634</v>
      </c>
      <c r="R68" t="s">
        <v>38</v>
      </c>
      <c r="S68">
        <v>2025</v>
      </c>
      <c r="T68">
        <v>900437268</v>
      </c>
      <c r="U68" t="s">
        <v>39</v>
      </c>
    </row>
    <row r="69" spans="1:21" hidden="1" x14ac:dyDescent="0.25">
      <c r="A69" t="s">
        <v>21</v>
      </c>
      <c r="B69">
        <v>1002350</v>
      </c>
      <c r="C69" s="1">
        <v>45944</v>
      </c>
      <c r="D69">
        <v>1</v>
      </c>
      <c r="E69">
        <v>1</v>
      </c>
      <c r="F69">
        <v>999</v>
      </c>
      <c r="G69" t="s">
        <v>22</v>
      </c>
      <c r="J69">
        <v>24480502</v>
      </c>
      <c r="K69" t="s">
        <v>106</v>
      </c>
      <c r="L69">
        <v>800102891</v>
      </c>
      <c r="M69" t="s">
        <v>36</v>
      </c>
      <c r="N69" s="2">
        <v>2800000</v>
      </c>
      <c r="O69" s="2">
        <v>0</v>
      </c>
      <c r="P69" s="2">
        <v>16800</v>
      </c>
      <c r="Q69" t="s">
        <v>655</v>
      </c>
      <c r="R69" t="s">
        <v>38</v>
      </c>
      <c r="S69">
        <v>2025</v>
      </c>
      <c r="T69">
        <v>1010081868</v>
      </c>
      <c r="U69" t="s">
        <v>110</v>
      </c>
    </row>
    <row r="70" spans="1:21" hidden="1" x14ac:dyDescent="0.25">
      <c r="A70" t="s">
        <v>21</v>
      </c>
      <c r="B70">
        <v>1002388</v>
      </c>
      <c r="C70" s="1">
        <v>45952</v>
      </c>
      <c r="D70">
        <v>1</v>
      </c>
      <c r="E70">
        <v>1</v>
      </c>
      <c r="F70">
        <v>999</v>
      </c>
      <c r="G70" t="s">
        <v>22</v>
      </c>
      <c r="J70">
        <v>24480501</v>
      </c>
      <c r="K70" t="s">
        <v>35</v>
      </c>
      <c r="L70">
        <v>800102891</v>
      </c>
      <c r="M70" t="s">
        <v>36</v>
      </c>
      <c r="N70" s="2">
        <v>891920</v>
      </c>
      <c r="O70" s="2">
        <v>0</v>
      </c>
      <c r="P70" s="2">
        <v>8919</v>
      </c>
      <c r="Q70" t="s">
        <v>251</v>
      </c>
      <c r="R70" t="s">
        <v>38</v>
      </c>
      <c r="S70">
        <v>2025</v>
      </c>
      <c r="T70">
        <v>901358847</v>
      </c>
      <c r="U70" t="s">
        <v>252</v>
      </c>
    </row>
    <row r="71" spans="1:21" hidden="1" x14ac:dyDescent="0.25">
      <c r="A71" t="s">
        <v>21</v>
      </c>
      <c r="B71">
        <v>1002388</v>
      </c>
      <c r="C71" s="1">
        <v>45952</v>
      </c>
      <c r="D71">
        <v>1</v>
      </c>
      <c r="E71">
        <v>1</v>
      </c>
      <c r="F71">
        <v>999</v>
      </c>
      <c r="G71" t="s">
        <v>22</v>
      </c>
      <c r="J71">
        <v>24480501</v>
      </c>
      <c r="K71" t="s">
        <v>35</v>
      </c>
      <c r="L71">
        <v>800102891</v>
      </c>
      <c r="M71" t="s">
        <v>36</v>
      </c>
      <c r="N71" s="2">
        <v>800000</v>
      </c>
      <c r="O71" s="2">
        <v>0</v>
      </c>
      <c r="P71" s="2">
        <v>8000</v>
      </c>
      <c r="Q71" t="s">
        <v>251</v>
      </c>
      <c r="R71" t="s">
        <v>38</v>
      </c>
      <c r="S71">
        <v>2025</v>
      </c>
      <c r="T71">
        <v>1124849956</v>
      </c>
      <c r="U71" t="s">
        <v>555</v>
      </c>
    </row>
    <row r="72" spans="1:21" hidden="1" x14ac:dyDescent="0.25">
      <c r="A72" t="s">
        <v>21</v>
      </c>
      <c r="B72">
        <v>1002399</v>
      </c>
      <c r="C72" s="1">
        <v>45953</v>
      </c>
      <c r="D72">
        <v>1</v>
      </c>
      <c r="E72">
        <v>1</v>
      </c>
      <c r="F72">
        <v>999</v>
      </c>
      <c r="G72" t="s">
        <v>22</v>
      </c>
      <c r="J72">
        <v>24480501</v>
      </c>
      <c r="K72" t="s">
        <v>35</v>
      </c>
      <c r="L72">
        <v>800102891</v>
      </c>
      <c r="M72" t="s">
        <v>36</v>
      </c>
      <c r="N72" s="2">
        <v>700000</v>
      </c>
      <c r="O72" s="2">
        <v>0</v>
      </c>
      <c r="P72" s="2">
        <v>7000</v>
      </c>
      <c r="Q72" t="s">
        <v>71</v>
      </c>
      <c r="R72" t="s">
        <v>38</v>
      </c>
      <c r="S72">
        <v>2025</v>
      </c>
      <c r="T72">
        <v>79278081</v>
      </c>
      <c r="U72" t="s">
        <v>72</v>
      </c>
    </row>
    <row r="73" spans="1:21" hidden="1" x14ac:dyDescent="0.25">
      <c r="A73" t="s">
        <v>21</v>
      </c>
      <c r="B73">
        <v>1002426</v>
      </c>
      <c r="C73" s="1">
        <v>45958</v>
      </c>
      <c r="D73">
        <v>1</v>
      </c>
      <c r="E73">
        <v>1</v>
      </c>
      <c r="F73">
        <v>999</v>
      </c>
      <c r="G73" t="s">
        <v>22</v>
      </c>
      <c r="J73">
        <v>24480501</v>
      </c>
      <c r="K73" t="s">
        <v>35</v>
      </c>
      <c r="L73">
        <v>800102891</v>
      </c>
      <c r="M73" t="s">
        <v>36</v>
      </c>
      <c r="N73" s="2">
        <v>6594803</v>
      </c>
      <c r="O73" s="2">
        <v>0</v>
      </c>
      <c r="P73" s="2">
        <v>65948</v>
      </c>
      <c r="Q73" t="s">
        <v>196</v>
      </c>
      <c r="R73" t="s">
        <v>38</v>
      </c>
      <c r="S73">
        <v>2025</v>
      </c>
      <c r="T73">
        <v>18145427</v>
      </c>
      <c r="U73" t="s">
        <v>70</v>
      </c>
    </row>
    <row r="74" spans="1:21" hidden="1" x14ac:dyDescent="0.25">
      <c r="A74" t="s">
        <v>93</v>
      </c>
      <c r="B74">
        <v>1004404</v>
      </c>
      <c r="C74" s="1">
        <v>45958</v>
      </c>
      <c r="D74">
        <v>1</v>
      </c>
      <c r="E74">
        <v>1</v>
      </c>
      <c r="F74">
        <v>999</v>
      </c>
      <c r="G74" t="s">
        <v>22</v>
      </c>
      <c r="J74">
        <v>24480501</v>
      </c>
      <c r="K74" t="s">
        <v>35</v>
      </c>
      <c r="L74">
        <v>800102891</v>
      </c>
      <c r="M74" t="s">
        <v>36</v>
      </c>
      <c r="N74" s="2">
        <v>2142985</v>
      </c>
      <c r="O74" s="2">
        <v>0</v>
      </c>
      <c r="P74" s="2">
        <v>21430</v>
      </c>
      <c r="Q74" t="s">
        <v>645</v>
      </c>
      <c r="R74" t="s">
        <v>38</v>
      </c>
      <c r="S74">
        <v>2025</v>
      </c>
      <c r="T74">
        <v>18127828</v>
      </c>
      <c r="U74" t="s">
        <v>205</v>
      </c>
    </row>
    <row r="75" spans="1:21" hidden="1" x14ac:dyDescent="0.25">
      <c r="A75" t="s">
        <v>21</v>
      </c>
      <c r="B75">
        <v>1002448</v>
      </c>
      <c r="C75" s="1">
        <v>45961</v>
      </c>
      <c r="D75">
        <v>1</v>
      </c>
      <c r="E75">
        <v>1</v>
      </c>
      <c r="F75">
        <v>999</v>
      </c>
      <c r="G75" t="s">
        <v>22</v>
      </c>
      <c r="J75">
        <v>24480501</v>
      </c>
      <c r="K75" t="s">
        <v>35</v>
      </c>
      <c r="L75">
        <v>800102891</v>
      </c>
      <c r="M75" t="s">
        <v>36</v>
      </c>
      <c r="N75" s="2">
        <v>591025</v>
      </c>
      <c r="O75" s="2">
        <v>0</v>
      </c>
      <c r="P75" s="2">
        <v>5910</v>
      </c>
      <c r="Q75" t="s">
        <v>225</v>
      </c>
      <c r="R75" t="s">
        <v>38</v>
      </c>
      <c r="S75">
        <v>2025</v>
      </c>
      <c r="T75">
        <v>48600248</v>
      </c>
      <c r="U75" t="s">
        <v>226</v>
      </c>
    </row>
    <row r="76" spans="1:21" hidden="1" x14ac:dyDescent="0.25">
      <c r="A76" t="s">
        <v>21</v>
      </c>
      <c r="B76">
        <v>1002527</v>
      </c>
      <c r="C76" s="1">
        <v>45967</v>
      </c>
      <c r="D76">
        <v>1</v>
      </c>
      <c r="E76">
        <v>1</v>
      </c>
      <c r="F76">
        <v>999</v>
      </c>
      <c r="G76" t="s">
        <v>22</v>
      </c>
      <c r="J76">
        <v>24480501</v>
      </c>
      <c r="K76" t="s">
        <v>35</v>
      </c>
      <c r="L76">
        <v>800102891</v>
      </c>
      <c r="M76" t="s">
        <v>36</v>
      </c>
      <c r="N76" s="2">
        <v>480000</v>
      </c>
      <c r="O76" s="2">
        <v>0</v>
      </c>
      <c r="P76" s="2">
        <v>4800</v>
      </c>
      <c r="Q76" t="s">
        <v>147</v>
      </c>
      <c r="R76" t="s">
        <v>38</v>
      </c>
      <c r="S76">
        <v>2025</v>
      </c>
      <c r="T76">
        <v>900437268</v>
      </c>
      <c r="U76" t="s">
        <v>39</v>
      </c>
    </row>
    <row r="77" spans="1:21" hidden="1" x14ac:dyDescent="0.25">
      <c r="A77" t="s">
        <v>21</v>
      </c>
      <c r="B77">
        <v>1002639</v>
      </c>
      <c r="C77" s="1">
        <v>45981</v>
      </c>
      <c r="D77">
        <v>1</v>
      </c>
      <c r="E77">
        <v>1</v>
      </c>
      <c r="F77">
        <v>999</v>
      </c>
      <c r="G77" t="s">
        <v>22</v>
      </c>
      <c r="J77">
        <v>24480501</v>
      </c>
      <c r="K77" t="s">
        <v>35</v>
      </c>
      <c r="L77">
        <v>800102891</v>
      </c>
      <c r="M77" t="s">
        <v>36</v>
      </c>
      <c r="N77" s="2">
        <v>1159950</v>
      </c>
      <c r="O77" s="2">
        <v>0</v>
      </c>
      <c r="P77" s="2">
        <v>11600</v>
      </c>
      <c r="Q77" t="s">
        <v>374</v>
      </c>
      <c r="R77" t="s">
        <v>38</v>
      </c>
      <c r="S77">
        <v>2025</v>
      </c>
      <c r="T77">
        <v>41170105</v>
      </c>
      <c r="U77" t="s">
        <v>375</v>
      </c>
    </row>
    <row r="78" spans="1:21" hidden="1" x14ac:dyDescent="0.25">
      <c r="A78" t="s">
        <v>21</v>
      </c>
      <c r="B78">
        <v>1002639</v>
      </c>
      <c r="C78" s="1">
        <v>45981</v>
      </c>
      <c r="D78">
        <v>1</v>
      </c>
      <c r="E78">
        <v>1</v>
      </c>
      <c r="F78">
        <v>999</v>
      </c>
      <c r="G78" t="s">
        <v>22</v>
      </c>
      <c r="J78">
        <v>24480501</v>
      </c>
      <c r="K78" t="s">
        <v>35</v>
      </c>
      <c r="L78">
        <v>800102891</v>
      </c>
      <c r="M78" t="s">
        <v>36</v>
      </c>
      <c r="N78" s="2">
        <v>1933250</v>
      </c>
      <c r="O78" s="2">
        <v>0</v>
      </c>
      <c r="P78" s="2">
        <v>19333</v>
      </c>
      <c r="Q78" t="s">
        <v>374</v>
      </c>
      <c r="R78" t="s">
        <v>38</v>
      </c>
      <c r="S78">
        <v>2025</v>
      </c>
      <c r="T78">
        <v>1126003236</v>
      </c>
      <c r="U78" t="s">
        <v>169</v>
      </c>
    </row>
    <row r="79" spans="1:21" hidden="1" x14ac:dyDescent="0.25">
      <c r="A79" t="s">
        <v>93</v>
      </c>
      <c r="B79">
        <v>1004761</v>
      </c>
      <c r="C79" s="1">
        <v>45985</v>
      </c>
      <c r="D79">
        <v>1</v>
      </c>
      <c r="E79">
        <v>1</v>
      </c>
      <c r="F79">
        <v>999</v>
      </c>
      <c r="G79" t="s">
        <v>22</v>
      </c>
      <c r="J79">
        <v>24480501</v>
      </c>
      <c r="K79" t="s">
        <v>35</v>
      </c>
      <c r="L79">
        <v>800102891</v>
      </c>
      <c r="M79" t="s">
        <v>36</v>
      </c>
      <c r="N79" s="2">
        <v>2142985</v>
      </c>
      <c r="O79" s="2">
        <v>0</v>
      </c>
      <c r="P79" s="2">
        <v>21430</v>
      </c>
      <c r="Q79" t="s">
        <v>398</v>
      </c>
      <c r="R79" t="s">
        <v>38</v>
      </c>
      <c r="S79">
        <v>2025</v>
      </c>
      <c r="T79">
        <v>18127828</v>
      </c>
      <c r="U79" t="s">
        <v>205</v>
      </c>
    </row>
    <row r="80" spans="1:21" hidden="1" x14ac:dyDescent="0.25">
      <c r="A80" t="s">
        <v>21</v>
      </c>
      <c r="B80">
        <v>1002666</v>
      </c>
      <c r="C80" s="1">
        <v>45986</v>
      </c>
      <c r="D80">
        <v>1</v>
      </c>
      <c r="E80">
        <v>1</v>
      </c>
      <c r="F80">
        <v>999</v>
      </c>
      <c r="G80" t="s">
        <v>22</v>
      </c>
      <c r="J80">
        <v>24480501</v>
      </c>
      <c r="K80" t="s">
        <v>35</v>
      </c>
      <c r="L80">
        <v>800102891</v>
      </c>
      <c r="M80" t="s">
        <v>36</v>
      </c>
      <c r="N80" s="2">
        <v>6594803</v>
      </c>
      <c r="O80" s="2">
        <v>0</v>
      </c>
      <c r="P80" s="2">
        <v>65948</v>
      </c>
      <c r="Q80" t="s">
        <v>334</v>
      </c>
      <c r="R80" t="s">
        <v>38</v>
      </c>
      <c r="S80">
        <v>2025</v>
      </c>
      <c r="T80">
        <v>18145427</v>
      </c>
      <c r="U80" t="s">
        <v>70</v>
      </c>
    </row>
    <row r="81" spans="1:21" hidden="1" x14ac:dyDescent="0.25">
      <c r="A81" t="s">
        <v>21</v>
      </c>
      <c r="B81">
        <v>1002674</v>
      </c>
      <c r="C81" s="1">
        <v>45987</v>
      </c>
      <c r="D81">
        <v>1</v>
      </c>
      <c r="E81">
        <v>1</v>
      </c>
      <c r="F81">
        <v>999</v>
      </c>
      <c r="G81" t="s">
        <v>22</v>
      </c>
      <c r="J81">
        <v>24480501</v>
      </c>
      <c r="K81" t="s">
        <v>35</v>
      </c>
      <c r="L81">
        <v>800102891</v>
      </c>
      <c r="M81" t="s">
        <v>36</v>
      </c>
      <c r="N81" s="2">
        <v>516500</v>
      </c>
      <c r="O81" s="2">
        <v>0</v>
      </c>
      <c r="P81" s="2">
        <v>5165</v>
      </c>
      <c r="Q81" t="s">
        <v>194</v>
      </c>
      <c r="R81" t="s">
        <v>38</v>
      </c>
      <c r="S81">
        <v>2025</v>
      </c>
      <c r="T81">
        <v>18125303</v>
      </c>
      <c r="U81" t="s">
        <v>195</v>
      </c>
    </row>
    <row r="82" spans="1:21" hidden="1" x14ac:dyDescent="0.25">
      <c r="A82" t="s">
        <v>21</v>
      </c>
      <c r="B82">
        <v>1002787</v>
      </c>
      <c r="C82" s="1">
        <v>46000</v>
      </c>
      <c r="D82">
        <v>1</v>
      </c>
      <c r="E82">
        <v>1</v>
      </c>
      <c r="F82">
        <v>999</v>
      </c>
      <c r="G82" t="s">
        <v>22</v>
      </c>
      <c r="J82">
        <v>24480501</v>
      </c>
      <c r="K82" t="s">
        <v>35</v>
      </c>
      <c r="L82">
        <v>800102891</v>
      </c>
      <c r="M82" t="s">
        <v>36</v>
      </c>
      <c r="N82" s="2">
        <v>480000</v>
      </c>
      <c r="O82" s="2">
        <v>0</v>
      </c>
      <c r="P82" s="2">
        <v>4800</v>
      </c>
      <c r="Q82" t="s">
        <v>62</v>
      </c>
      <c r="R82" t="s">
        <v>31</v>
      </c>
      <c r="S82">
        <v>2025</v>
      </c>
      <c r="T82">
        <v>900437268</v>
      </c>
      <c r="U82" t="s">
        <v>39</v>
      </c>
    </row>
    <row r="83" spans="1:21" x14ac:dyDescent="0.25">
      <c r="A83" t="s">
        <v>93</v>
      </c>
      <c r="B83">
        <v>1005108</v>
      </c>
      <c r="C83" s="1">
        <v>46003</v>
      </c>
      <c r="D83">
        <v>1</v>
      </c>
      <c r="E83">
        <v>1</v>
      </c>
      <c r="F83">
        <v>999</v>
      </c>
      <c r="G83" t="s">
        <v>22</v>
      </c>
      <c r="J83">
        <v>24480501</v>
      </c>
      <c r="K83" t="s">
        <v>35</v>
      </c>
      <c r="L83">
        <v>800102891</v>
      </c>
      <c r="M83" t="s">
        <v>36</v>
      </c>
      <c r="N83" s="2">
        <v>7250000</v>
      </c>
      <c r="O83" s="2">
        <v>0</v>
      </c>
      <c r="P83" s="2">
        <v>72500</v>
      </c>
      <c r="Q83" t="s">
        <v>288</v>
      </c>
      <c r="R83" t="s">
        <v>200</v>
      </c>
      <c r="S83">
        <v>2025</v>
      </c>
      <c r="T83">
        <v>5348917</v>
      </c>
      <c r="U83" t="s">
        <v>289</v>
      </c>
    </row>
    <row r="84" spans="1:21" hidden="1" x14ac:dyDescent="0.25">
      <c r="A84" t="s">
        <v>21</v>
      </c>
      <c r="B84">
        <v>1002849</v>
      </c>
      <c r="C84" s="1">
        <v>46006</v>
      </c>
      <c r="D84">
        <v>1</v>
      </c>
      <c r="E84">
        <v>1</v>
      </c>
      <c r="F84">
        <v>999</v>
      </c>
      <c r="G84" t="s">
        <v>22</v>
      </c>
      <c r="J84">
        <v>24480501</v>
      </c>
      <c r="K84" t="s">
        <v>35</v>
      </c>
      <c r="L84">
        <v>800102891</v>
      </c>
      <c r="M84" t="s">
        <v>36</v>
      </c>
      <c r="N84" s="2">
        <v>5671000</v>
      </c>
      <c r="O84" s="2">
        <v>0</v>
      </c>
      <c r="P84" s="2">
        <v>56710</v>
      </c>
      <c r="Q84" t="s">
        <v>661</v>
      </c>
      <c r="R84" t="s">
        <v>200</v>
      </c>
      <c r="S84">
        <v>2025</v>
      </c>
      <c r="T84">
        <v>900774181</v>
      </c>
      <c r="U84" t="s">
        <v>136</v>
      </c>
    </row>
    <row r="85" spans="1:21" hidden="1" x14ac:dyDescent="0.25">
      <c r="A85" t="s">
        <v>21</v>
      </c>
      <c r="B85">
        <v>1002873</v>
      </c>
      <c r="C85" s="1">
        <v>46007</v>
      </c>
      <c r="D85">
        <v>1</v>
      </c>
      <c r="E85">
        <v>1</v>
      </c>
      <c r="F85">
        <v>999</v>
      </c>
      <c r="G85" t="s">
        <v>22</v>
      </c>
      <c r="J85">
        <v>24480501</v>
      </c>
      <c r="K85" t="s">
        <v>35</v>
      </c>
      <c r="L85">
        <v>800102891</v>
      </c>
      <c r="M85" t="s">
        <v>36</v>
      </c>
      <c r="N85" s="2">
        <v>593000</v>
      </c>
      <c r="O85" s="2">
        <v>0</v>
      </c>
      <c r="P85" s="2">
        <v>5930</v>
      </c>
      <c r="Q85" t="s">
        <v>491</v>
      </c>
      <c r="R85" t="s">
        <v>31</v>
      </c>
      <c r="S85">
        <v>2025</v>
      </c>
      <c r="T85">
        <v>1124850571</v>
      </c>
      <c r="U85" t="s">
        <v>492</v>
      </c>
    </row>
    <row r="86" spans="1:21" hidden="1" x14ac:dyDescent="0.25">
      <c r="A86" t="s">
        <v>21</v>
      </c>
      <c r="B86">
        <v>1002882</v>
      </c>
      <c r="C86" s="1">
        <v>46008</v>
      </c>
      <c r="D86">
        <v>1</v>
      </c>
      <c r="E86">
        <v>1</v>
      </c>
      <c r="F86">
        <v>999</v>
      </c>
      <c r="G86" t="s">
        <v>22</v>
      </c>
      <c r="J86">
        <v>24480501</v>
      </c>
      <c r="K86" t="s">
        <v>35</v>
      </c>
      <c r="L86">
        <v>800102891</v>
      </c>
      <c r="M86" t="s">
        <v>36</v>
      </c>
      <c r="N86" s="2">
        <v>4054000</v>
      </c>
      <c r="O86" s="2">
        <v>0</v>
      </c>
      <c r="P86" s="2">
        <v>40540</v>
      </c>
      <c r="Q86" t="s">
        <v>506</v>
      </c>
      <c r="R86" t="s">
        <v>31</v>
      </c>
      <c r="S86">
        <v>2025</v>
      </c>
      <c r="T86">
        <v>1124848865</v>
      </c>
      <c r="U86" t="s">
        <v>507</v>
      </c>
    </row>
    <row r="87" spans="1:21" hidden="1" x14ac:dyDescent="0.25">
      <c r="A87" t="s">
        <v>21</v>
      </c>
      <c r="B87">
        <v>1002919</v>
      </c>
      <c r="C87" s="1">
        <v>46013</v>
      </c>
      <c r="D87">
        <v>1</v>
      </c>
      <c r="E87">
        <v>1</v>
      </c>
      <c r="F87">
        <v>999</v>
      </c>
      <c r="G87" t="s">
        <v>22</v>
      </c>
      <c r="J87">
        <v>24480501</v>
      </c>
      <c r="K87" t="s">
        <v>35</v>
      </c>
      <c r="L87">
        <v>800102891</v>
      </c>
      <c r="M87" t="s">
        <v>36</v>
      </c>
      <c r="N87" s="2">
        <v>6594803</v>
      </c>
      <c r="O87" s="2">
        <v>0</v>
      </c>
      <c r="P87" s="2">
        <v>65948</v>
      </c>
      <c r="Q87" t="s">
        <v>574</v>
      </c>
      <c r="R87" t="s">
        <v>31</v>
      </c>
      <c r="S87">
        <v>2025</v>
      </c>
      <c r="T87">
        <v>18145427</v>
      </c>
      <c r="U87" t="s">
        <v>70</v>
      </c>
    </row>
    <row r="88" spans="1:21" hidden="1" x14ac:dyDescent="0.25">
      <c r="A88" t="s">
        <v>21</v>
      </c>
      <c r="B88">
        <v>1002951</v>
      </c>
      <c r="C88" s="1">
        <v>46017</v>
      </c>
      <c r="D88">
        <v>1</v>
      </c>
      <c r="E88">
        <v>1</v>
      </c>
      <c r="F88">
        <v>999</v>
      </c>
      <c r="G88" t="s">
        <v>22</v>
      </c>
      <c r="J88">
        <v>24480501</v>
      </c>
      <c r="K88" t="s">
        <v>35</v>
      </c>
      <c r="L88">
        <v>800102891</v>
      </c>
      <c r="M88" t="s">
        <v>36</v>
      </c>
      <c r="N88" s="2">
        <v>1324000</v>
      </c>
      <c r="O88" s="2">
        <v>0</v>
      </c>
      <c r="P88" s="2">
        <v>13240</v>
      </c>
      <c r="Q88" t="s">
        <v>167</v>
      </c>
      <c r="R88" t="s">
        <v>168</v>
      </c>
      <c r="S88">
        <v>2025</v>
      </c>
      <c r="T88">
        <v>1126003236</v>
      </c>
      <c r="U88" t="s">
        <v>169</v>
      </c>
    </row>
    <row r="89" spans="1:21" hidden="1" x14ac:dyDescent="0.25">
      <c r="A89" t="s">
        <v>93</v>
      </c>
      <c r="B89">
        <v>1005356</v>
      </c>
      <c r="C89" s="1">
        <v>46020</v>
      </c>
      <c r="D89">
        <v>1</v>
      </c>
      <c r="E89">
        <v>1</v>
      </c>
      <c r="F89">
        <v>999</v>
      </c>
      <c r="G89" t="s">
        <v>22</v>
      </c>
      <c r="J89">
        <v>24480501</v>
      </c>
      <c r="K89" t="s">
        <v>35</v>
      </c>
      <c r="L89">
        <v>800102891</v>
      </c>
      <c r="M89" t="s">
        <v>36</v>
      </c>
      <c r="N89" s="2">
        <v>2142985</v>
      </c>
      <c r="O89" s="2">
        <v>0</v>
      </c>
      <c r="P89" s="2">
        <v>21430</v>
      </c>
      <c r="Q89" t="s">
        <v>277</v>
      </c>
      <c r="R89" t="s">
        <v>31</v>
      </c>
      <c r="S89">
        <v>2025</v>
      </c>
      <c r="T89">
        <v>18127828</v>
      </c>
      <c r="U89" t="s">
        <v>205</v>
      </c>
    </row>
    <row r="90" spans="1:21" hidden="1" x14ac:dyDescent="0.25">
      <c r="A90" t="s">
        <v>21</v>
      </c>
      <c r="B90">
        <v>1002975</v>
      </c>
      <c r="C90" s="1">
        <v>46021</v>
      </c>
      <c r="D90">
        <v>1</v>
      </c>
      <c r="E90">
        <v>1</v>
      </c>
      <c r="F90">
        <v>999</v>
      </c>
      <c r="G90" t="s">
        <v>22</v>
      </c>
      <c r="J90">
        <v>24480502</v>
      </c>
      <c r="K90" t="s">
        <v>106</v>
      </c>
      <c r="L90">
        <v>800102891</v>
      </c>
      <c r="M90" t="s">
        <v>36</v>
      </c>
      <c r="N90" s="2">
        <v>3711600</v>
      </c>
      <c r="O90" s="2">
        <v>0</v>
      </c>
      <c r="P90" s="2">
        <v>22270</v>
      </c>
      <c r="Q90" t="s">
        <v>131</v>
      </c>
      <c r="R90" t="s">
        <v>31</v>
      </c>
      <c r="S90">
        <v>2025</v>
      </c>
      <c r="T90">
        <v>1006663258</v>
      </c>
      <c r="U90" t="s">
        <v>132</v>
      </c>
    </row>
    <row r="91" spans="1:21" hidden="1" x14ac:dyDescent="0.25">
      <c r="A91" t="s">
        <v>21</v>
      </c>
      <c r="B91">
        <v>1002977</v>
      </c>
      <c r="C91" s="1">
        <v>46021</v>
      </c>
      <c r="D91">
        <v>1</v>
      </c>
      <c r="E91">
        <v>1</v>
      </c>
      <c r="F91">
        <v>999</v>
      </c>
      <c r="G91" t="s">
        <v>22</v>
      </c>
      <c r="J91">
        <v>24480502</v>
      </c>
      <c r="K91" t="s">
        <v>106</v>
      </c>
      <c r="L91">
        <v>800102891</v>
      </c>
      <c r="M91" t="s">
        <v>36</v>
      </c>
      <c r="N91" s="2">
        <v>517000</v>
      </c>
      <c r="O91" s="2">
        <v>0</v>
      </c>
      <c r="P91" s="2">
        <v>3102</v>
      </c>
      <c r="Q91" t="s">
        <v>458</v>
      </c>
      <c r="R91" t="s">
        <v>168</v>
      </c>
      <c r="S91">
        <v>2025</v>
      </c>
      <c r="T91">
        <v>69007663</v>
      </c>
      <c r="U91" t="s">
        <v>459</v>
      </c>
    </row>
    <row r="92" spans="1:21" hidden="1" x14ac:dyDescent="0.25">
      <c r="A92" t="s">
        <v>21</v>
      </c>
      <c r="B92">
        <v>1002977</v>
      </c>
      <c r="C92" s="1">
        <v>46021</v>
      </c>
      <c r="D92">
        <v>1</v>
      </c>
      <c r="E92">
        <v>1</v>
      </c>
      <c r="F92">
        <v>999</v>
      </c>
      <c r="G92" t="s">
        <v>22</v>
      </c>
      <c r="J92">
        <v>24480502</v>
      </c>
      <c r="K92" t="s">
        <v>106</v>
      </c>
      <c r="L92">
        <v>800102891</v>
      </c>
      <c r="M92" t="s">
        <v>36</v>
      </c>
      <c r="N92" s="2">
        <v>696000</v>
      </c>
      <c r="O92" s="2">
        <v>0</v>
      </c>
      <c r="P92" s="2">
        <v>4176</v>
      </c>
      <c r="Q92" t="s">
        <v>458</v>
      </c>
      <c r="R92" t="s">
        <v>168</v>
      </c>
      <c r="S92">
        <v>2025</v>
      </c>
      <c r="T92">
        <v>17655791</v>
      </c>
      <c r="U92" t="s">
        <v>487</v>
      </c>
    </row>
    <row r="93" spans="1:21" hidden="1" x14ac:dyDescent="0.25">
      <c r="A93" t="s">
        <v>21</v>
      </c>
      <c r="B93">
        <v>1002977</v>
      </c>
      <c r="C93" s="1">
        <v>46021</v>
      </c>
      <c r="D93">
        <v>1</v>
      </c>
      <c r="E93">
        <v>1</v>
      </c>
      <c r="F93">
        <v>999</v>
      </c>
      <c r="G93" t="s">
        <v>22</v>
      </c>
      <c r="J93">
        <v>24480502</v>
      </c>
      <c r="K93" t="s">
        <v>106</v>
      </c>
      <c r="L93">
        <v>800102891</v>
      </c>
      <c r="M93" t="s">
        <v>36</v>
      </c>
      <c r="N93" s="2">
        <v>1820350</v>
      </c>
      <c r="O93" s="2">
        <v>0</v>
      </c>
      <c r="P93" s="2">
        <v>10922</v>
      </c>
      <c r="Q93" t="s">
        <v>458</v>
      </c>
      <c r="R93" t="s">
        <v>168</v>
      </c>
      <c r="S93">
        <v>2025</v>
      </c>
      <c r="T93">
        <v>87680094</v>
      </c>
      <c r="U93" t="s">
        <v>595</v>
      </c>
    </row>
    <row r="95" spans="1:21" x14ac:dyDescent="0.25">
      <c r="O95" s="2">
        <f>SUM(O2:O94)</f>
        <v>0</v>
      </c>
      <c r="P95" s="2">
        <f>SUM(P2:P94)</f>
        <v>1854238</v>
      </c>
    </row>
  </sheetData>
  <autoFilter ref="A1:U93" xr:uid="{9CE85EE2-202C-452A-BC22-40411560EF4B}">
    <filterColumn colId="19">
      <filters>
        <filter val="5348917"/>
      </filters>
    </filterColumn>
    <sortState xmlns:xlrd2="http://schemas.microsoft.com/office/spreadsheetml/2017/richdata2" ref="A2:U93">
      <sortCondition ref="C1:C9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D073-31F4-4472-A5F1-A0E46A4C4490}">
  <dimension ref="A1:L160"/>
  <sheetViews>
    <sheetView tabSelected="1" workbookViewId="0">
      <selection activeCell="H4" sqref="H4"/>
    </sheetView>
  </sheetViews>
  <sheetFormatPr baseColWidth="10" defaultRowHeight="15" x14ac:dyDescent="0.25"/>
  <cols>
    <col min="2" max="2" width="5" bestFit="1" customWidth="1"/>
    <col min="7" max="7" width="78.28515625" bestFit="1" customWidth="1"/>
  </cols>
  <sheetData>
    <row r="1" spans="1:12" x14ac:dyDescent="0.25">
      <c r="A1" t="s">
        <v>682</v>
      </c>
      <c r="B1" t="s">
        <v>683</v>
      </c>
      <c r="C1" s="6" t="s">
        <v>1047</v>
      </c>
      <c r="D1" s="6" t="s">
        <v>1048</v>
      </c>
      <c r="E1" s="6" t="s">
        <v>1049</v>
      </c>
      <c r="F1" s="6" t="s">
        <v>1050</v>
      </c>
      <c r="G1" s="6" t="s">
        <v>1051</v>
      </c>
      <c r="H1" s="6" t="s">
        <v>684</v>
      </c>
      <c r="I1" s="6" t="s">
        <v>685</v>
      </c>
      <c r="J1" s="6" t="s">
        <v>686</v>
      </c>
      <c r="K1" s="6" t="s">
        <v>687</v>
      </c>
      <c r="L1" s="6" t="s">
        <v>688</v>
      </c>
    </row>
    <row r="2" spans="1:12" x14ac:dyDescent="0.25">
      <c r="A2">
        <v>6549769</v>
      </c>
      <c r="C2" t="s">
        <v>697</v>
      </c>
      <c r="D2" t="s">
        <v>698</v>
      </c>
      <c r="E2" t="s">
        <v>699</v>
      </c>
      <c r="F2" t="s">
        <v>700</v>
      </c>
      <c r="H2" t="e">
        <v>#N/A</v>
      </c>
      <c r="J2" t="e">
        <v>#N/A</v>
      </c>
      <c r="K2" t="e">
        <v>#N/A</v>
      </c>
      <c r="L2" t="e">
        <v>#N/A</v>
      </c>
    </row>
    <row r="3" spans="1:12" x14ac:dyDescent="0.25">
      <c r="A3">
        <v>10189014</v>
      </c>
      <c r="C3" t="s">
        <v>701</v>
      </c>
      <c r="D3" t="s">
        <v>702</v>
      </c>
      <c r="E3" t="s">
        <v>703</v>
      </c>
      <c r="F3" t="s">
        <v>704</v>
      </c>
      <c r="H3" t="e">
        <v>#N/A</v>
      </c>
      <c r="J3" t="e">
        <v>#N/A</v>
      </c>
      <c r="K3" t="e">
        <v>#N/A</v>
      </c>
      <c r="L3" t="e">
        <v>#N/A</v>
      </c>
    </row>
    <row r="4" spans="1:12" x14ac:dyDescent="0.25">
      <c r="A4">
        <v>12236224</v>
      </c>
      <c r="C4" t="s">
        <v>705</v>
      </c>
      <c r="D4" t="s">
        <v>694</v>
      </c>
      <c r="E4" t="s">
        <v>706</v>
      </c>
      <c r="F4" t="s">
        <v>707</v>
      </c>
      <c r="H4" t="e">
        <v>#N/A</v>
      </c>
      <c r="J4" t="e">
        <v>#N/A</v>
      </c>
      <c r="K4" t="e">
        <v>#N/A</v>
      </c>
      <c r="L4" t="e">
        <v>#N/A</v>
      </c>
    </row>
    <row r="5" spans="1:12" x14ac:dyDescent="0.25">
      <c r="A5">
        <v>12960193</v>
      </c>
      <c r="C5" t="s">
        <v>711</v>
      </c>
      <c r="D5" t="s">
        <v>712</v>
      </c>
      <c r="E5" t="s">
        <v>695</v>
      </c>
      <c r="F5" t="s">
        <v>713</v>
      </c>
      <c r="H5" t="e">
        <v>#N/A</v>
      </c>
      <c r="J5" t="e">
        <v>#N/A</v>
      </c>
      <c r="K5" t="e">
        <v>#N/A</v>
      </c>
      <c r="L5" t="e">
        <v>#N/A</v>
      </c>
    </row>
    <row r="6" spans="1:12" x14ac:dyDescent="0.25">
      <c r="A6">
        <v>12982322</v>
      </c>
      <c r="C6" t="s">
        <v>714</v>
      </c>
      <c r="D6" t="s">
        <v>715</v>
      </c>
      <c r="E6" t="s">
        <v>716</v>
      </c>
      <c r="F6" t="s">
        <v>717</v>
      </c>
      <c r="H6" t="e">
        <v>#N/A</v>
      </c>
      <c r="J6" t="e">
        <v>#N/A</v>
      </c>
      <c r="K6" t="e">
        <v>#N/A</v>
      </c>
      <c r="L6" t="e">
        <v>#N/A</v>
      </c>
    </row>
    <row r="7" spans="1:12" x14ac:dyDescent="0.25">
      <c r="A7">
        <v>12997019</v>
      </c>
      <c r="C7" t="s">
        <v>708</v>
      </c>
      <c r="D7" t="s">
        <v>718</v>
      </c>
      <c r="E7" t="s">
        <v>719</v>
      </c>
      <c r="F7" t="s">
        <v>720</v>
      </c>
      <c r="H7" t="e">
        <v>#N/A</v>
      </c>
      <c r="J7" t="e">
        <v>#N/A</v>
      </c>
      <c r="K7" t="e">
        <v>#N/A</v>
      </c>
      <c r="L7" t="e">
        <v>#N/A</v>
      </c>
    </row>
    <row r="8" spans="1:12" x14ac:dyDescent="0.25">
      <c r="A8">
        <v>15572024</v>
      </c>
      <c r="C8" t="s">
        <v>724</v>
      </c>
      <c r="D8" t="s">
        <v>725</v>
      </c>
      <c r="E8" t="s">
        <v>726</v>
      </c>
      <c r="F8" t="s">
        <v>727</v>
      </c>
      <c r="H8" t="e">
        <v>#N/A</v>
      </c>
      <c r="J8" t="e">
        <v>#N/A</v>
      </c>
      <c r="K8" t="e">
        <v>#N/A</v>
      </c>
      <c r="L8" t="e">
        <v>#N/A</v>
      </c>
    </row>
    <row r="9" spans="1:12" x14ac:dyDescent="0.25">
      <c r="A9">
        <v>16712199</v>
      </c>
      <c r="C9" t="s">
        <v>728</v>
      </c>
      <c r="D9" t="s">
        <v>729</v>
      </c>
      <c r="E9" t="s">
        <v>692</v>
      </c>
      <c r="F9" t="s">
        <v>730</v>
      </c>
      <c r="H9" t="e">
        <v>#N/A</v>
      </c>
      <c r="J9" t="e">
        <v>#N/A</v>
      </c>
      <c r="K9" t="e">
        <v>#N/A</v>
      </c>
      <c r="L9" t="e">
        <v>#N/A</v>
      </c>
    </row>
    <row r="10" spans="1:12" x14ac:dyDescent="0.25">
      <c r="A10">
        <v>17640433</v>
      </c>
      <c r="C10" t="s">
        <v>731</v>
      </c>
      <c r="D10" t="s">
        <v>732</v>
      </c>
      <c r="E10" t="s">
        <v>733</v>
      </c>
      <c r="H10" t="e">
        <v>#N/A</v>
      </c>
      <c r="J10" t="e">
        <v>#N/A</v>
      </c>
      <c r="K10" t="e">
        <v>#N/A</v>
      </c>
      <c r="L10" t="e">
        <v>#N/A</v>
      </c>
    </row>
    <row r="11" spans="1:12" x14ac:dyDescent="0.25">
      <c r="A11">
        <v>17655791</v>
      </c>
      <c r="C11" t="s">
        <v>734</v>
      </c>
      <c r="D11" t="s">
        <v>735</v>
      </c>
      <c r="E11" t="s">
        <v>736</v>
      </c>
      <c r="F11" t="s">
        <v>733</v>
      </c>
      <c r="H11" t="e">
        <v>#N/A</v>
      </c>
      <c r="J11" t="e">
        <v>#N/A</v>
      </c>
      <c r="K11" t="e">
        <v>#N/A</v>
      </c>
      <c r="L11" t="e">
        <v>#N/A</v>
      </c>
    </row>
    <row r="12" spans="1:12" x14ac:dyDescent="0.25">
      <c r="A12">
        <v>18103669</v>
      </c>
      <c r="C12" t="s">
        <v>737</v>
      </c>
      <c r="D12" t="s">
        <v>738</v>
      </c>
      <c r="E12" t="s">
        <v>739</v>
      </c>
      <c r="F12" t="s">
        <v>730</v>
      </c>
      <c r="H12" t="e">
        <v>#N/A</v>
      </c>
      <c r="J12" t="e">
        <v>#N/A</v>
      </c>
      <c r="K12" t="e">
        <v>#N/A</v>
      </c>
      <c r="L12" t="e">
        <v>#N/A</v>
      </c>
    </row>
    <row r="13" spans="1:12" x14ac:dyDescent="0.25">
      <c r="A13">
        <v>18125023</v>
      </c>
      <c r="C13" t="s">
        <v>740</v>
      </c>
      <c r="D13" t="s">
        <v>741</v>
      </c>
      <c r="E13" t="s">
        <v>719</v>
      </c>
      <c r="F13" t="s">
        <v>742</v>
      </c>
      <c r="H13" t="e">
        <v>#N/A</v>
      </c>
      <c r="J13" t="e">
        <v>#N/A</v>
      </c>
      <c r="K13" t="e">
        <v>#N/A</v>
      </c>
      <c r="L13" t="e">
        <v>#N/A</v>
      </c>
    </row>
    <row r="14" spans="1:12" x14ac:dyDescent="0.25">
      <c r="A14">
        <v>18125303</v>
      </c>
      <c r="C14" t="s">
        <v>743</v>
      </c>
      <c r="D14" t="s">
        <v>744</v>
      </c>
      <c r="E14" t="s">
        <v>745</v>
      </c>
      <c r="H14" t="e">
        <v>#N/A</v>
      </c>
      <c r="J14" t="e">
        <v>#N/A</v>
      </c>
      <c r="K14" t="e">
        <v>#N/A</v>
      </c>
      <c r="L14" t="e">
        <v>#N/A</v>
      </c>
    </row>
    <row r="15" spans="1:12" x14ac:dyDescent="0.25">
      <c r="A15">
        <v>18126084</v>
      </c>
      <c r="C15" t="s">
        <v>746</v>
      </c>
      <c r="D15" t="s">
        <v>747</v>
      </c>
      <c r="E15" t="s">
        <v>733</v>
      </c>
      <c r="H15" t="e">
        <v>#N/A</v>
      </c>
      <c r="J15" t="e">
        <v>#N/A</v>
      </c>
      <c r="K15" t="e">
        <v>#N/A</v>
      </c>
      <c r="L15" t="e">
        <v>#N/A</v>
      </c>
    </row>
    <row r="16" spans="1:12" x14ac:dyDescent="0.25">
      <c r="A16">
        <v>18127030</v>
      </c>
      <c r="C16" t="s">
        <v>697</v>
      </c>
      <c r="D16" t="s">
        <v>758</v>
      </c>
      <c r="E16" t="s">
        <v>759</v>
      </c>
      <c r="F16" t="s">
        <v>760</v>
      </c>
      <c r="H16" t="e">
        <v>#N/A</v>
      </c>
      <c r="J16" t="e">
        <v>#N/A</v>
      </c>
      <c r="K16" t="e">
        <v>#N/A</v>
      </c>
      <c r="L16" t="e">
        <v>#N/A</v>
      </c>
    </row>
    <row r="17" spans="1:12" x14ac:dyDescent="0.25">
      <c r="A17">
        <v>18127050</v>
      </c>
      <c r="C17" t="s">
        <v>761</v>
      </c>
      <c r="D17" t="s">
        <v>762</v>
      </c>
      <c r="E17" t="s">
        <v>763</v>
      </c>
      <c r="H17" t="e">
        <v>#N/A</v>
      </c>
      <c r="J17" t="e">
        <v>#N/A</v>
      </c>
      <c r="K17" t="e">
        <v>#N/A</v>
      </c>
      <c r="L17" t="e">
        <v>#N/A</v>
      </c>
    </row>
    <row r="18" spans="1:12" x14ac:dyDescent="0.25">
      <c r="A18">
        <v>18130206</v>
      </c>
      <c r="C18" t="s">
        <v>767</v>
      </c>
      <c r="D18" t="s">
        <v>762</v>
      </c>
      <c r="E18" t="s">
        <v>768</v>
      </c>
      <c r="H18" t="e">
        <v>#N/A</v>
      </c>
      <c r="J18" t="e">
        <v>#N/A</v>
      </c>
      <c r="K18" t="e">
        <v>#N/A</v>
      </c>
      <c r="L18" t="e">
        <v>#N/A</v>
      </c>
    </row>
    <row r="19" spans="1:12" x14ac:dyDescent="0.25">
      <c r="A19">
        <v>18144083</v>
      </c>
      <c r="C19" t="s">
        <v>697</v>
      </c>
      <c r="D19" t="s">
        <v>769</v>
      </c>
      <c r="E19" t="s">
        <v>770</v>
      </c>
      <c r="H19" t="e">
        <v>#N/A</v>
      </c>
      <c r="J19" t="e">
        <v>#N/A</v>
      </c>
      <c r="K19" t="e">
        <v>#N/A</v>
      </c>
      <c r="L19" t="e">
        <v>#N/A</v>
      </c>
    </row>
    <row r="20" spans="1:12" x14ac:dyDescent="0.25">
      <c r="A20">
        <v>18144169</v>
      </c>
      <c r="C20" t="s">
        <v>771</v>
      </c>
      <c r="D20" t="s">
        <v>772</v>
      </c>
      <c r="E20" t="s">
        <v>773</v>
      </c>
      <c r="F20" t="s">
        <v>774</v>
      </c>
      <c r="H20" t="e">
        <v>#N/A</v>
      </c>
      <c r="J20" t="e">
        <v>#N/A</v>
      </c>
      <c r="K20" t="e">
        <v>#N/A</v>
      </c>
      <c r="L20" t="e">
        <v>#N/A</v>
      </c>
    </row>
    <row r="21" spans="1:12" x14ac:dyDescent="0.25">
      <c r="A21">
        <v>18145427</v>
      </c>
      <c r="C21" t="s">
        <v>775</v>
      </c>
      <c r="D21" t="s">
        <v>776</v>
      </c>
      <c r="E21" t="s">
        <v>777</v>
      </c>
      <c r="F21" t="s">
        <v>778</v>
      </c>
      <c r="H21" t="e">
        <v>#N/A</v>
      </c>
      <c r="J21" t="e">
        <v>#N/A</v>
      </c>
      <c r="K21" t="e">
        <v>#N/A</v>
      </c>
      <c r="L21" t="e">
        <v>#N/A</v>
      </c>
    </row>
    <row r="22" spans="1:12" x14ac:dyDescent="0.25">
      <c r="A22">
        <v>18155317</v>
      </c>
      <c r="C22" t="s">
        <v>786</v>
      </c>
      <c r="D22" t="s">
        <v>787</v>
      </c>
      <c r="E22" t="s">
        <v>788</v>
      </c>
      <c r="F22" t="s">
        <v>733</v>
      </c>
      <c r="H22" t="e">
        <v>#N/A</v>
      </c>
      <c r="J22" t="e">
        <v>#N/A</v>
      </c>
      <c r="K22" t="e">
        <v>#N/A</v>
      </c>
      <c r="L22" t="e">
        <v>#N/A</v>
      </c>
    </row>
    <row r="23" spans="1:12" x14ac:dyDescent="0.25">
      <c r="A23">
        <v>18184893</v>
      </c>
      <c r="C23" t="s">
        <v>792</v>
      </c>
      <c r="D23" t="s">
        <v>793</v>
      </c>
      <c r="E23" t="s">
        <v>794</v>
      </c>
      <c r="H23" t="e">
        <v>#N/A</v>
      </c>
      <c r="J23" t="e">
        <v>#N/A</v>
      </c>
      <c r="K23" t="e">
        <v>#N/A</v>
      </c>
      <c r="L23" t="e">
        <v>#N/A</v>
      </c>
    </row>
    <row r="24" spans="1:12" x14ac:dyDescent="0.25">
      <c r="A24">
        <v>19199527</v>
      </c>
      <c r="C24" t="s">
        <v>798</v>
      </c>
      <c r="D24" t="s">
        <v>799</v>
      </c>
      <c r="E24" t="s">
        <v>800</v>
      </c>
      <c r="H24" t="e">
        <v>#N/A</v>
      </c>
      <c r="J24" t="e">
        <v>#N/A</v>
      </c>
      <c r="K24" t="e">
        <v>#N/A</v>
      </c>
      <c r="L24" t="e">
        <v>#N/A</v>
      </c>
    </row>
    <row r="25" spans="1:12" x14ac:dyDescent="0.25">
      <c r="A25">
        <v>26636874</v>
      </c>
      <c r="C25" t="s">
        <v>712</v>
      </c>
      <c r="D25" t="s">
        <v>803</v>
      </c>
      <c r="E25" t="s">
        <v>804</v>
      </c>
      <c r="F25" t="s">
        <v>805</v>
      </c>
      <c r="H25" t="e">
        <v>#N/A</v>
      </c>
      <c r="J25" t="e">
        <v>#N/A</v>
      </c>
      <c r="K25" t="e">
        <v>#N/A</v>
      </c>
      <c r="L25" t="e">
        <v>#N/A</v>
      </c>
    </row>
    <row r="26" spans="1:12" x14ac:dyDescent="0.25">
      <c r="A26">
        <v>27474915</v>
      </c>
      <c r="C26" t="s">
        <v>806</v>
      </c>
      <c r="D26" t="s">
        <v>807</v>
      </c>
      <c r="E26" t="s">
        <v>808</v>
      </c>
      <c r="F26" t="s">
        <v>809</v>
      </c>
      <c r="G26" t="s">
        <v>810</v>
      </c>
      <c r="H26" t="e">
        <v>#N/A</v>
      </c>
      <c r="J26" t="e">
        <v>#N/A</v>
      </c>
      <c r="K26" t="e">
        <v>#N/A</v>
      </c>
      <c r="L26" t="e">
        <v>#N/A</v>
      </c>
    </row>
    <row r="27" spans="1:12" x14ac:dyDescent="0.25">
      <c r="A27">
        <v>40076819</v>
      </c>
      <c r="C27" t="s">
        <v>822</v>
      </c>
      <c r="D27" t="s">
        <v>823</v>
      </c>
      <c r="E27" t="s">
        <v>804</v>
      </c>
      <c r="F27" t="s">
        <v>824</v>
      </c>
      <c r="H27" t="e">
        <v>#N/A</v>
      </c>
      <c r="J27" t="e">
        <v>#N/A</v>
      </c>
      <c r="K27" t="e">
        <v>#N/A</v>
      </c>
      <c r="L27" t="e">
        <v>#N/A</v>
      </c>
    </row>
    <row r="28" spans="1:12" x14ac:dyDescent="0.25">
      <c r="A28">
        <v>41101376</v>
      </c>
      <c r="C28" t="s">
        <v>714</v>
      </c>
      <c r="D28" t="s">
        <v>804</v>
      </c>
      <c r="E28" t="s">
        <v>826</v>
      </c>
      <c r="H28" t="e">
        <v>#N/A</v>
      </c>
      <c r="J28" t="e">
        <v>#N/A</v>
      </c>
      <c r="K28" t="e">
        <v>#N/A</v>
      </c>
      <c r="L28" t="e">
        <v>#N/A</v>
      </c>
    </row>
    <row r="29" spans="1:12" x14ac:dyDescent="0.25">
      <c r="A29">
        <v>41103850</v>
      </c>
      <c r="C29" t="s">
        <v>829</v>
      </c>
      <c r="D29" t="s">
        <v>830</v>
      </c>
      <c r="E29" t="s">
        <v>813</v>
      </c>
      <c r="F29" t="s">
        <v>831</v>
      </c>
      <c r="H29" t="e">
        <v>#N/A</v>
      </c>
      <c r="J29" t="e">
        <v>#N/A</v>
      </c>
      <c r="K29" t="e">
        <v>#N/A</v>
      </c>
      <c r="L29" t="e">
        <v>#N/A</v>
      </c>
    </row>
    <row r="30" spans="1:12" x14ac:dyDescent="0.25">
      <c r="A30">
        <v>41108005</v>
      </c>
      <c r="C30" t="s">
        <v>832</v>
      </c>
      <c r="D30" t="s">
        <v>832</v>
      </c>
      <c r="E30" t="s">
        <v>833</v>
      </c>
      <c r="F30" t="s">
        <v>834</v>
      </c>
      <c r="H30" t="e">
        <v>#N/A</v>
      </c>
      <c r="J30" t="e">
        <v>#N/A</v>
      </c>
      <c r="K30" t="e">
        <v>#N/A</v>
      </c>
      <c r="L30" t="e">
        <v>#N/A</v>
      </c>
    </row>
    <row r="31" spans="1:12" x14ac:dyDescent="0.25">
      <c r="A31">
        <v>41116311</v>
      </c>
      <c r="C31" t="s">
        <v>835</v>
      </c>
      <c r="D31" t="s">
        <v>836</v>
      </c>
      <c r="E31" t="s">
        <v>837</v>
      </c>
      <c r="H31" t="e">
        <v>#N/A</v>
      </c>
      <c r="J31" t="e">
        <v>#N/A</v>
      </c>
      <c r="K31" t="e">
        <v>#N/A</v>
      </c>
      <c r="L31" t="e">
        <v>#N/A</v>
      </c>
    </row>
    <row r="32" spans="1:12" x14ac:dyDescent="0.25">
      <c r="A32">
        <v>41117737</v>
      </c>
      <c r="C32" t="s">
        <v>838</v>
      </c>
      <c r="D32" t="s">
        <v>714</v>
      </c>
      <c r="E32" t="s">
        <v>839</v>
      </c>
      <c r="F32" t="s">
        <v>840</v>
      </c>
      <c r="H32" t="e">
        <v>#N/A</v>
      </c>
      <c r="J32" t="e">
        <v>#N/A</v>
      </c>
      <c r="K32" t="e">
        <v>#N/A</v>
      </c>
      <c r="L32" t="e">
        <v>#N/A</v>
      </c>
    </row>
    <row r="33" spans="1:12" x14ac:dyDescent="0.25">
      <c r="A33">
        <v>41170105</v>
      </c>
      <c r="C33" t="s">
        <v>790</v>
      </c>
      <c r="D33" t="s">
        <v>843</v>
      </c>
      <c r="E33" t="s">
        <v>844</v>
      </c>
      <c r="H33" t="e">
        <v>#N/A</v>
      </c>
      <c r="J33" t="e">
        <v>#N/A</v>
      </c>
      <c r="K33" t="e">
        <v>#N/A</v>
      </c>
      <c r="L33" t="e">
        <v>#N/A</v>
      </c>
    </row>
    <row r="34" spans="1:12" x14ac:dyDescent="0.25">
      <c r="A34">
        <v>41170646</v>
      </c>
      <c r="C34" t="s">
        <v>761</v>
      </c>
      <c r="D34" t="s">
        <v>845</v>
      </c>
      <c r="E34" t="s">
        <v>846</v>
      </c>
      <c r="F34" t="s">
        <v>847</v>
      </c>
      <c r="H34" t="e">
        <v>#N/A</v>
      </c>
      <c r="J34" t="e">
        <v>#N/A</v>
      </c>
      <c r="K34" t="e">
        <v>#N/A</v>
      </c>
      <c r="L34" t="e">
        <v>#N/A</v>
      </c>
    </row>
    <row r="35" spans="1:12" x14ac:dyDescent="0.25">
      <c r="A35">
        <v>41181552</v>
      </c>
      <c r="C35" t="s">
        <v>728</v>
      </c>
      <c r="D35" t="s">
        <v>848</v>
      </c>
      <c r="E35" t="s">
        <v>833</v>
      </c>
      <c r="F35" t="s">
        <v>849</v>
      </c>
      <c r="H35" t="e">
        <v>#N/A</v>
      </c>
      <c r="J35" t="e">
        <v>#N/A</v>
      </c>
      <c r="K35" t="e">
        <v>#N/A</v>
      </c>
      <c r="L35" t="e">
        <v>#N/A</v>
      </c>
    </row>
    <row r="36" spans="1:12" x14ac:dyDescent="0.25">
      <c r="A36">
        <v>41181655</v>
      </c>
      <c r="C36" t="s">
        <v>850</v>
      </c>
      <c r="D36" t="s">
        <v>851</v>
      </c>
      <c r="E36" t="s">
        <v>852</v>
      </c>
      <c r="F36" t="s">
        <v>853</v>
      </c>
      <c r="H36" t="e">
        <v>#N/A</v>
      </c>
      <c r="J36" t="e">
        <v>#N/A</v>
      </c>
      <c r="K36" t="e">
        <v>#N/A</v>
      </c>
      <c r="L36" t="e">
        <v>#N/A</v>
      </c>
    </row>
    <row r="37" spans="1:12" x14ac:dyDescent="0.25">
      <c r="A37">
        <v>48600248</v>
      </c>
      <c r="C37" t="s">
        <v>748</v>
      </c>
      <c r="D37" t="s">
        <v>854</v>
      </c>
      <c r="E37" t="s">
        <v>855</v>
      </c>
      <c r="F37" t="s">
        <v>814</v>
      </c>
      <c r="H37" t="e">
        <v>#N/A</v>
      </c>
      <c r="J37" t="e">
        <v>#N/A</v>
      </c>
      <c r="K37" t="e">
        <v>#N/A</v>
      </c>
      <c r="L37" t="e">
        <v>#N/A</v>
      </c>
    </row>
    <row r="38" spans="1:12" x14ac:dyDescent="0.25">
      <c r="A38">
        <v>52952416</v>
      </c>
      <c r="C38" t="s">
        <v>803</v>
      </c>
      <c r="D38" t="s">
        <v>803</v>
      </c>
      <c r="E38" t="s">
        <v>856</v>
      </c>
      <c r="H38" t="e">
        <v>#N/A</v>
      </c>
      <c r="J38" t="e">
        <v>#N/A</v>
      </c>
      <c r="K38" t="e">
        <v>#N/A</v>
      </c>
      <c r="L38" t="e">
        <v>#N/A</v>
      </c>
    </row>
    <row r="39" spans="1:12" x14ac:dyDescent="0.25">
      <c r="A39">
        <v>52969434</v>
      </c>
      <c r="C39" t="s">
        <v>857</v>
      </c>
      <c r="D39" t="s">
        <v>858</v>
      </c>
      <c r="E39" t="s">
        <v>859</v>
      </c>
      <c r="F39" t="s">
        <v>860</v>
      </c>
      <c r="H39" t="e">
        <v>#N/A</v>
      </c>
      <c r="J39" t="e">
        <v>#N/A</v>
      </c>
      <c r="K39" t="e">
        <v>#N/A</v>
      </c>
      <c r="L39" t="e">
        <v>#N/A</v>
      </c>
    </row>
    <row r="40" spans="1:12" x14ac:dyDescent="0.25">
      <c r="A40">
        <v>53051826</v>
      </c>
      <c r="C40" t="s">
        <v>861</v>
      </c>
      <c r="D40" t="s">
        <v>862</v>
      </c>
      <c r="E40" t="s">
        <v>863</v>
      </c>
      <c r="F40" t="s">
        <v>864</v>
      </c>
      <c r="H40" t="e">
        <v>#N/A</v>
      </c>
      <c r="J40" t="e">
        <v>#N/A</v>
      </c>
      <c r="K40" t="e">
        <v>#N/A</v>
      </c>
      <c r="L40" t="e">
        <v>#N/A</v>
      </c>
    </row>
    <row r="41" spans="1:12" x14ac:dyDescent="0.25">
      <c r="A41">
        <v>59832054</v>
      </c>
      <c r="C41" t="s">
        <v>738</v>
      </c>
      <c r="D41" t="s">
        <v>793</v>
      </c>
      <c r="E41" t="s">
        <v>865</v>
      </c>
      <c r="F41" t="s">
        <v>866</v>
      </c>
      <c r="H41" t="e">
        <v>#N/A</v>
      </c>
      <c r="J41" t="e">
        <v>#N/A</v>
      </c>
      <c r="K41" t="e">
        <v>#N/A</v>
      </c>
      <c r="L41" t="e">
        <v>#N/A</v>
      </c>
    </row>
    <row r="42" spans="1:12" x14ac:dyDescent="0.25">
      <c r="A42">
        <v>66808199</v>
      </c>
      <c r="C42" t="s">
        <v>861</v>
      </c>
      <c r="D42" t="s">
        <v>867</v>
      </c>
      <c r="E42" t="s">
        <v>813</v>
      </c>
      <c r="F42" t="s">
        <v>868</v>
      </c>
      <c r="H42" t="e">
        <v>#N/A</v>
      </c>
      <c r="J42" t="e">
        <v>#N/A</v>
      </c>
      <c r="K42" t="e">
        <v>#N/A</v>
      </c>
      <c r="L42" t="e">
        <v>#N/A</v>
      </c>
    </row>
    <row r="43" spans="1:12" x14ac:dyDescent="0.25">
      <c r="A43">
        <v>69007663</v>
      </c>
      <c r="C43" t="s">
        <v>873</v>
      </c>
      <c r="D43" t="s">
        <v>799</v>
      </c>
      <c r="E43" t="s">
        <v>874</v>
      </c>
      <c r="F43" t="s">
        <v>875</v>
      </c>
      <c r="H43" t="e">
        <v>#N/A</v>
      </c>
      <c r="J43" t="e">
        <v>#N/A</v>
      </c>
      <c r="K43" t="e">
        <v>#N/A</v>
      </c>
      <c r="L43" t="e">
        <v>#N/A</v>
      </c>
    </row>
    <row r="44" spans="1:12" x14ac:dyDescent="0.25">
      <c r="A44">
        <v>69028034</v>
      </c>
      <c r="C44" t="s">
        <v>880</v>
      </c>
      <c r="D44" t="s">
        <v>712</v>
      </c>
      <c r="E44" t="s">
        <v>883</v>
      </c>
      <c r="H44" t="e">
        <v>#N/A</v>
      </c>
      <c r="J44" t="e">
        <v>#N/A</v>
      </c>
      <c r="K44" t="e">
        <v>#N/A</v>
      </c>
      <c r="L44" t="e">
        <v>#N/A</v>
      </c>
    </row>
    <row r="45" spans="1:12" x14ac:dyDescent="0.25">
      <c r="A45">
        <v>69070447</v>
      </c>
      <c r="C45" t="s">
        <v>885</v>
      </c>
      <c r="D45" t="s">
        <v>886</v>
      </c>
      <c r="E45" t="s">
        <v>887</v>
      </c>
      <c r="H45" t="e">
        <v>#N/A</v>
      </c>
      <c r="J45" t="e">
        <v>#N/A</v>
      </c>
      <c r="K45" t="e">
        <v>#N/A</v>
      </c>
      <c r="L45" t="e">
        <v>#N/A</v>
      </c>
    </row>
    <row r="46" spans="1:12" x14ac:dyDescent="0.25">
      <c r="A46">
        <v>79278081</v>
      </c>
      <c r="C46" t="s">
        <v>735</v>
      </c>
      <c r="D46" t="s">
        <v>888</v>
      </c>
      <c r="E46" t="s">
        <v>889</v>
      </c>
      <c r="F46" t="s">
        <v>890</v>
      </c>
      <c r="H46" t="e">
        <v>#N/A</v>
      </c>
      <c r="J46" t="e">
        <v>#N/A</v>
      </c>
      <c r="K46" t="e">
        <v>#N/A</v>
      </c>
      <c r="L46" t="e">
        <v>#N/A</v>
      </c>
    </row>
    <row r="47" spans="1:12" x14ac:dyDescent="0.25">
      <c r="A47">
        <v>79790378</v>
      </c>
      <c r="C47" t="s">
        <v>841</v>
      </c>
      <c r="D47" t="s">
        <v>712</v>
      </c>
      <c r="E47" t="s">
        <v>891</v>
      </c>
      <c r="F47" t="s">
        <v>892</v>
      </c>
      <c r="H47" t="e">
        <v>#N/A</v>
      </c>
      <c r="J47" t="e">
        <v>#N/A</v>
      </c>
      <c r="K47" t="e">
        <v>#N/A</v>
      </c>
      <c r="L47" t="e">
        <v>#N/A</v>
      </c>
    </row>
    <row r="48" spans="1:12" x14ac:dyDescent="0.25">
      <c r="A48">
        <v>79842226</v>
      </c>
      <c r="C48" t="s">
        <v>893</v>
      </c>
      <c r="D48" t="s">
        <v>894</v>
      </c>
      <c r="E48" t="s">
        <v>889</v>
      </c>
      <c r="H48" t="e">
        <v>#N/A</v>
      </c>
      <c r="J48" t="e">
        <v>#N/A</v>
      </c>
      <c r="K48" t="e">
        <v>#N/A</v>
      </c>
      <c r="L48" t="e">
        <v>#N/A</v>
      </c>
    </row>
    <row r="49" spans="1:12" x14ac:dyDescent="0.25">
      <c r="A49">
        <v>80274379</v>
      </c>
      <c r="C49" t="s">
        <v>895</v>
      </c>
      <c r="D49" t="s">
        <v>795</v>
      </c>
      <c r="E49" t="s">
        <v>781</v>
      </c>
      <c r="F49" t="s">
        <v>896</v>
      </c>
      <c r="H49" t="e">
        <v>#N/A</v>
      </c>
      <c r="J49" t="e">
        <v>#N/A</v>
      </c>
      <c r="K49" t="e">
        <v>#N/A</v>
      </c>
      <c r="L49" t="e">
        <v>#N/A</v>
      </c>
    </row>
    <row r="50" spans="1:12" x14ac:dyDescent="0.25">
      <c r="A50">
        <v>83226508</v>
      </c>
      <c r="C50" t="s">
        <v>897</v>
      </c>
      <c r="D50" t="s">
        <v>897</v>
      </c>
      <c r="E50" t="s">
        <v>898</v>
      </c>
      <c r="H50" t="e">
        <v>#N/A</v>
      </c>
      <c r="J50" t="e">
        <v>#N/A</v>
      </c>
      <c r="K50" t="e">
        <v>#N/A</v>
      </c>
      <c r="L50" t="e">
        <v>#N/A</v>
      </c>
    </row>
    <row r="51" spans="1:12" x14ac:dyDescent="0.25">
      <c r="A51">
        <v>87101363</v>
      </c>
      <c r="C51" t="s">
        <v>746</v>
      </c>
      <c r="D51" t="s">
        <v>867</v>
      </c>
      <c r="E51" t="s">
        <v>898</v>
      </c>
      <c r="F51" t="s">
        <v>899</v>
      </c>
      <c r="H51" t="e">
        <v>#N/A</v>
      </c>
      <c r="J51" t="e">
        <v>#N/A</v>
      </c>
      <c r="K51" t="e">
        <v>#N/A</v>
      </c>
      <c r="L51" t="e">
        <v>#N/A</v>
      </c>
    </row>
    <row r="52" spans="1:12" x14ac:dyDescent="0.25">
      <c r="A52">
        <v>87680094</v>
      </c>
      <c r="C52" t="s">
        <v>697</v>
      </c>
      <c r="D52" t="s">
        <v>697</v>
      </c>
      <c r="E52" t="s">
        <v>900</v>
      </c>
      <c r="F52" t="s">
        <v>901</v>
      </c>
      <c r="H52" t="e">
        <v>#N/A</v>
      </c>
      <c r="J52" t="e">
        <v>#N/A</v>
      </c>
      <c r="K52" t="e">
        <v>#N/A</v>
      </c>
      <c r="L52" t="e">
        <v>#N/A</v>
      </c>
    </row>
    <row r="53" spans="1:12" x14ac:dyDescent="0.25">
      <c r="A53">
        <v>93407539</v>
      </c>
      <c r="C53" t="s">
        <v>910</v>
      </c>
      <c r="D53" t="s">
        <v>744</v>
      </c>
      <c r="E53" t="s">
        <v>904</v>
      </c>
      <c r="F53" t="s">
        <v>695</v>
      </c>
      <c r="H53" t="e">
        <v>#N/A</v>
      </c>
      <c r="J53" t="e">
        <v>#N/A</v>
      </c>
      <c r="K53" t="e">
        <v>#N/A</v>
      </c>
      <c r="L53" t="e">
        <v>#N/A</v>
      </c>
    </row>
    <row r="54" spans="1:12" x14ac:dyDescent="0.25">
      <c r="A54">
        <v>97470775</v>
      </c>
      <c r="C54" t="s">
        <v>911</v>
      </c>
      <c r="D54" t="s">
        <v>791</v>
      </c>
      <c r="E54" t="s">
        <v>900</v>
      </c>
      <c r="H54" t="e">
        <v>#N/A</v>
      </c>
      <c r="J54" t="e">
        <v>#N/A</v>
      </c>
      <c r="K54" t="e">
        <v>#N/A</v>
      </c>
      <c r="L54" t="e">
        <v>#N/A</v>
      </c>
    </row>
    <row r="55" spans="1:12" x14ac:dyDescent="0.25">
      <c r="A55">
        <v>97471301</v>
      </c>
      <c r="C55" t="s">
        <v>767</v>
      </c>
      <c r="D55" t="s">
        <v>912</v>
      </c>
      <c r="E55" t="s">
        <v>913</v>
      </c>
      <c r="F55" t="s">
        <v>696</v>
      </c>
      <c r="H55" t="e">
        <v>#N/A</v>
      </c>
      <c r="J55" t="e">
        <v>#N/A</v>
      </c>
      <c r="K55" t="e">
        <v>#N/A</v>
      </c>
      <c r="L55" t="e">
        <v>#N/A</v>
      </c>
    </row>
    <row r="56" spans="1:12" x14ac:dyDescent="0.25">
      <c r="A56">
        <v>97471404</v>
      </c>
      <c r="C56" t="s">
        <v>914</v>
      </c>
      <c r="D56" t="s">
        <v>876</v>
      </c>
      <c r="E56" t="s">
        <v>915</v>
      </c>
      <c r="F56" t="s">
        <v>916</v>
      </c>
      <c r="H56" t="e">
        <v>#N/A</v>
      </c>
      <c r="J56" t="e">
        <v>#N/A</v>
      </c>
      <c r="K56" t="e">
        <v>#N/A</v>
      </c>
      <c r="L56" t="e">
        <v>#N/A</v>
      </c>
    </row>
    <row r="57" spans="1:12" x14ac:dyDescent="0.25">
      <c r="A57">
        <v>97471547</v>
      </c>
      <c r="C57" t="s">
        <v>917</v>
      </c>
      <c r="D57" t="s">
        <v>906</v>
      </c>
      <c r="E57" t="s">
        <v>918</v>
      </c>
      <c r="H57" t="e">
        <v>#N/A</v>
      </c>
      <c r="J57" t="e">
        <v>#N/A</v>
      </c>
      <c r="K57" t="e">
        <v>#N/A</v>
      </c>
      <c r="L57" t="e">
        <v>#N/A</v>
      </c>
    </row>
    <row r="58" spans="1:12" x14ac:dyDescent="0.25">
      <c r="A58">
        <v>97471709</v>
      </c>
      <c r="C58" t="s">
        <v>919</v>
      </c>
      <c r="D58" t="s">
        <v>920</v>
      </c>
      <c r="E58" t="s">
        <v>889</v>
      </c>
      <c r="F58" t="s">
        <v>696</v>
      </c>
      <c r="H58" t="e">
        <v>#N/A</v>
      </c>
      <c r="J58" t="e">
        <v>#N/A</v>
      </c>
      <c r="K58" t="e">
        <v>#N/A</v>
      </c>
      <c r="L58" t="e">
        <v>#N/A</v>
      </c>
    </row>
    <row r="59" spans="1:12" x14ac:dyDescent="0.25">
      <c r="A59">
        <v>97472144</v>
      </c>
      <c r="C59" t="s">
        <v>921</v>
      </c>
      <c r="D59" t="s">
        <v>709</v>
      </c>
      <c r="E59" t="s">
        <v>739</v>
      </c>
      <c r="F59" t="s">
        <v>720</v>
      </c>
      <c r="H59" t="e">
        <v>#N/A</v>
      </c>
      <c r="J59" t="e">
        <v>#N/A</v>
      </c>
      <c r="K59" t="e">
        <v>#N/A</v>
      </c>
      <c r="L59" t="e">
        <v>#N/A</v>
      </c>
    </row>
    <row r="60" spans="1:12" x14ac:dyDescent="0.25">
      <c r="A60">
        <v>97472290</v>
      </c>
      <c r="C60" t="s">
        <v>922</v>
      </c>
      <c r="D60" t="s">
        <v>923</v>
      </c>
      <c r="E60" t="s">
        <v>899</v>
      </c>
      <c r="F60" t="s">
        <v>747</v>
      </c>
      <c r="H60" t="e">
        <v>#N/A</v>
      </c>
      <c r="J60" t="e">
        <v>#N/A</v>
      </c>
      <c r="K60" t="e">
        <v>#N/A</v>
      </c>
      <c r="L60" t="e">
        <v>#N/A</v>
      </c>
    </row>
    <row r="61" spans="1:12" x14ac:dyDescent="0.25">
      <c r="A61">
        <v>97472407</v>
      </c>
      <c r="C61" t="s">
        <v>728</v>
      </c>
      <c r="D61" t="s">
        <v>845</v>
      </c>
      <c r="E61" t="s">
        <v>924</v>
      </c>
      <c r="F61" t="s">
        <v>925</v>
      </c>
      <c r="H61" t="e">
        <v>#N/A</v>
      </c>
      <c r="J61" t="e">
        <v>#N/A</v>
      </c>
      <c r="K61" t="e">
        <v>#N/A</v>
      </c>
      <c r="L61" t="e">
        <v>#N/A</v>
      </c>
    </row>
    <row r="62" spans="1:12" x14ac:dyDescent="0.25">
      <c r="A62">
        <v>98379749</v>
      </c>
      <c r="C62" t="s">
        <v>767</v>
      </c>
      <c r="D62" t="s">
        <v>756</v>
      </c>
      <c r="E62" t="s">
        <v>926</v>
      </c>
      <c r="F62" t="s">
        <v>927</v>
      </c>
      <c r="H62" t="e">
        <v>#N/A</v>
      </c>
      <c r="J62" t="e">
        <v>#N/A</v>
      </c>
      <c r="K62" t="e">
        <v>#N/A</v>
      </c>
      <c r="L62" t="e">
        <v>#N/A</v>
      </c>
    </row>
    <row r="63" spans="1:12" x14ac:dyDescent="0.25">
      <c r="A63">
        <v>800153144</v>
      </c>
      <c r="G63" t="s">
        <v>625</v>
      </c>
      <c r="H63" t="e">
        <v>#N/A</v>
      </c>
      <c r="J63" t="e">
        <v>#N/A</v>
      </c>
      <c r="K63" t="e">
        <v>#N/A</v>
      </c>
      <c r="L63" t="e">
        <v>#N/A</v>
      </c>
    </row>
    <row r="64" spans="1:12" x14ac:dyDescent="0.25">
      <c r="A64">
        <v>814000143</v>
      </c>
      <c r="G64" t="s">
        <v>546</v>
      </c>
      <c r="H64" t="e">
        <v>#N/A</v>
      </c>
      <c r="J64" t="e">
        <v>#N/A</v>
      </c>
      <c r="K64" t="e">
        <v>#N/A</v>
      </c>
      <c r="L64" t="e">
        <v>#N/A</v>
      </c>
    </row>
    <row r="65" spans="1:12" x14ac:dyDescent="0.25">
      <c r="A65">
        <v>830145805</v>
      </c>
      <c r="G65" t="s">
        <v>340</v>
      </c>
      <c r="H65" t="e">
        <v>#N/A</v>
      </c>
      <c r="J65" t="e">
        <v>#N/A</v>
      </c>
      <c r="K65" t="e">
        <v>#N/A</v>
      </c>
      <c r="L65" t="e">
        <v>#N/A</v>
      </c>
    </row>
    <row r="66" spans="1:12" x14ac:dyDescent="0.25">
      <c r="A66">
        <v>846000229</v>
      </c>
      <c r="G66" t="s">
        <v>298</v>
      </c>
      <c r="H66" t="e">
        <v>#N/A</v>
      </c>
      <c r="J66" t="e">
        <v>#N/A</v>
      </c>
      <c r="K66" t="e">
        <v>#N/A</v>
      </c>
      <c r="L66" t="e">
        <v>#N/A</v>
      </c>
    </row>
    <row r="67" spans="1:12" x14ac:dyDescent="0.25">
      <c r="A67">
        <v>846001061</v>
      </c>
      <c r="G67" t="s">
        <v>554</v>
      </c>
      <c r="H67" t="e">
        <v>#N/A</v>
      </c>
      <c r="J67" t="e">
        <v>#N/A</v>
      </c>
      <c r="K67" t="e">
        <v>#N/A</v>
      </c>
      <c r="L67" t="e">
        <v>#N/A</v>
      </c>
    </row>
    <row r="68" spans="1:12" x14ac:dyDescent="0.25">
      <c r="A68">
        <v>846003113</v>
      </c>
      <c r="G68" t="s">
        <v>89</v>
      </c>
      <c r="H68" t="e">
        <v>#N/A</v>
      </c>
      <c r="J68" t="e">
        <v>#N/A</v>
      </c>
      <c r="K68" t="e">
        <v>#N/A</v>
      </c>
      <c r="L68" t="e">
        <v>#N/A</v>
      </c>
    </row>
    <row r="69" spans="1:12" x14ac:dyDescent="0.25">
      <c r="A69">
        <v>900002514</v>
      </c>
      <c r="G69" t="s">
        <v>604</v>
      </c>
      <c r="H69" t="e">
        <v>#N/A</v>
      </c>
      <c r="J69" t="e">
        <v>#N/A</v>
      </c>
      <c r="K69" t="e">
        <v>#N/A</v>
      </c>
      <c r="L69" t="e">
        <v>#N/A</v>
      </c>
    </row>
    <row r="70" spans="1:12" x14ac:dyDescent="0.25">
      <c r="A70">
        <v>900219717</v>
      </c>
      <c r="G70" t="s">
        <v>254</v>
      </c>
      <c r="H70" t="e">
        <v>#N/A</v>
      </c>
      <c r="J70" t="e">
        <v>#N/A</v>
      </c>
      <c r="K70" t="e">
        <v>#N/A</v>
      </c>
      <c r="L70" t="e">
        <v>#N/A</v>
      </c>
    </row>
    <row r="71" spans="1:12" x14ac:dyDescent="0.25">
      <c r="A71">
        <v>900437268</v>
      </c>
      <c r="G71" t="s">
        <v>39</v>
      </c>
      <c r="H71" t="e">
        <v>#N/A</v>
      </c>
      <c r="J71" t="e">
        <v>#N/A</v>
      </c>
      <c r="K71" t="e">
        <v>#N/A</v>
      </c>
      <c r="L71" t="e">
        <v>#N/A</v>
      </c>
    </row>
    <row r="72" spans="1:12" x14ac:dyDescent="0.25">
      <c r="A72">
        <v>900502634</v>
      </c>
      <c r="G72" t="s">
        <v>55</v>
      </c>
      <c r="H72" t="e">
        <v>#N/A</v>
      </c>
      <c r="J72" t="e">
        <v>#N/A</v>
      </c>
      <c r="K72" t="e">
        <v>#N/A</v>
      </c>
      <c r="L72" t="e">
        <v>#N/A</v>
      </c>
    </row>
    <row r="73" spans="1:12" x14ac:dyDescent="0.25">
      <c r="A73">
        <v>900579315</v>
      </c>
      <c r="G73" t="s">
        <v>44</v>
      </c>
      <c r="H73" t="e">
        <v>#N/A</v>
      </c>
      <c r="J73" t="e">
        <v>#N/A</v>
      </c>
      <c r="K73" t="e">
        <v>#N/A</v>
      </c>
      <c r="L73" t="e">
        <v>#N/A</v>
      </c>
    </row>
    <row r="74" spans="1:12" x14ac:dyDescent="0.25">
      <c r="A74">
        <v>900593821</v>
      </c>
      <c r="G74" t="s">
        <v>390</v>
      </c>
      <c r="H74" t="e">
        <v>#N/A</v>
      </c>
      <c r="J74" t="e">
        <v>#N/A</v>
      </c>
      <c r="K74" t="e">
        <v>#N/A</v>
      </c>
      <c r="L74" t="e">
        <v>#N/A</v>
      </c>
    </row>
    <row r="75" spans="1:12" x14ac:dyDescent="0.25">
      <c r="A75">
        <v>900620983</v>
      </c>
      <c r="G75" t="s">
        <v>68</v>
      </c>
      <c r="H75" t="e">
        <v>#N/A</v>
      </c>
      <c r="J75" t="e">
        <v>#N/A</v>
      </c>
      <c r="K75" t="e">
        <v>#N/A</v>
      </c>
      <c r="L75" t="e">
        <v>#N/A</v>
      </c>
    </row>
    <row r="76" spans="1:12" x14ac:dyDescent="0.25">
      <c r="A76">
        <v>900774181</v>
      </c>
      <c r="G76" t="s">
        <v>136</v>
      </c>
      <c r="H76" t="e">
        <v>#N/A</v>
      </c>
      <c r="J76" t="e">
        <v>#N/A</v>
      </c>
      <c r="K76" t="e">
        <v>#N/A</v>
      </c>
      <c r="L76" t="e">
        <v>#N/A</v>
      </c>
    </row>
    <row r="77" spans="1:12" x14ac:dyDescent="0.25">
      <c r="A77">
        <v>901358847</v>
      </c>
      <c r="G77" t="s">
        <v>252</v>
      </c>
      <c r="H77" t="e">
        <v>#N/A</v>
      </c>
      <c r="J77" t="e">
        <v>#N/A</v>
      </c>
      <c r="K77" t="e">
        <v>#N/A</v>
      </c>
      <c r="L77" t="e">
        <v>#N/A</v>
      </c>
    </row>
    <row r="78" spans="1:12" x14ac:dyDescent="0.25">
      <c r="A78">
        <v>901372032</v>
      </c>
      <c r="G78" t="s">
        <v>654</v>
      </c>
      <c r="H78" t="e">
        <v>#N/A</v>
      </c>
      <c r="J78" t="e">
        <v>#N/A</v>
      </c>
      <c r="K78" t="e">
        <v>#N/A</v>
      </c>
      <c r="L78" t="e">
        <v>#N/A</v>
      </c>
    </row>
    <row r="79" spans="1:12" x14ac:dyDescent="0.25">
      <c r="A79">
        <v>901452326</v>
      </c>
      <c r="G79" t="s">
        <v>102</v>
      </c>
      <c r="H79" t="e">
        <v>#N/A</v>
      </c>
      <c r="J79" t="e">
        <v>#N/A</v>
      </c>
      <c r="K79" t="e">
        <v>#N/A</v>
      </c>
      <c r="L79" t="e">
        <v>#N/A</v>
      </c>
    </row>
    <row r="80" spans="1:12" x14ac:dyDescent="0.25">
      <c r="A80">
        <v>901544280</v>
      </c>
      <c r="G80" t="s">
        <v>337</v>
      </c>
      <c r="H80" t="e">
        <v>#N/A</v>
      </c>
      <c r="J80" t="e">
        <v>#N/A</v>
      </c>
      <c r="K80" t="e">
        <v>#N/A</v>
      </c>
      <c r="L80" t="e">
        <v>#N/A</v>
      </c>
    </row>
    <row r="81" spans="1:12" x14ac:dyDescent="0.25">
      <c r="A81">
        <v>1000942143</v>
      </c>
      <c r="C81" t="s">
        <v>930</v>
      </c>
      <c r="D81" t="s">
        <v>914</v>
      </c>
      <c r="E81" t="s">
        <v>931</v>
      </c>
      <c r="H81" t="e">
        <v>#N/A</v>
      </c>
      <c r="J81" t="e">
        <v>#N/A</v>
      </c>
      <c r="K81" t="e">
        <v>#N/A</v>
      </c>
      <c r="L81" t="e">
        <v>#N/A</v>
      </c>
    </row>
    <row r="82" spans="1:12" x14ac:dyDescent="0.25">
      <c r="A82">
        <v>1006663258</v>
      </c>
      <c r="C82" t="s">
        <v>938</v>
      </c>
      <c r="D82" t="s">
        <v>789</v>
      </c>
      <c r="E82" t="s">
        <v>939</v>
      </c>
      <c r="F82" t="s">
        <v>940</v>
      </c>
      <c r="H82" t="e">
        <v>#N/A</v>
      </c>
      <c r="J82" t="e">
        <v>#N/A</v>
      </c>
      <c r="K82" t="e">
        <v>#N/A</v>
      </c>
      <c r="L82" t="e">
        <v>#N/A</v>
      </c>
    </row>
    <row r="83" spans="1:12" x14ac:dyDescent="0.25">
      <c r="A83">
        <v>1006696549</v>
      </c>
      <c r="C83" t="s">
        <v>941</v>
      </c>
      <c r="D83" t="s">
        <v>942</v>
      </c>
      <c r="E83" t="s">
        <v>943</v>
      </c>
      <c r="F83" t="s">
        <v>944</v>
      </c>
      <c r="H83" t="e">
        <v>#N/A</v>
      </c>
      <c r="J83" t="e">
        <v>#N/A</v>
      </c>
      <c r="K83" t="e">
        <v>#N/A</v>
      </c>
      <c r="L83" t="e">
        <v>#N/A</v>
      </c>
    </row>
    <row r="84" spans="1:12" x14ac:dyDescent="0.25">
      <c r="A84">
        <v>1010081868</v>
      </c>
      <c r="C84" t="s">
        <v>932</v>
      </c>
      <c r="D84" t="s">
        <v>741</v>
      </c>
      <c r="E84" t="s">
        <v>945</v>
      </c>
      <c r="F84" t="s">
        <v>946</v>
      </c>
      <c r="H84" t="e">
        <v>#N/A</v>
      </c>
      <c r="J84" t="e">
        <v>#N/A</v>
      </c>
      <c r="K84" t="e">
        <v>#N/A</v>
      </c>
      <c r="L84" t="e">
        <v>#N/A</v>
      </c>
    </row>
    <row r="85" spans="1:12" x14ac:dyDescent="0.25">
      <c r="A85">
        <v>1061727860</v>
      </c>
      <c r="C85" t="s">
        <v>947</v>
      </c>
      <c r="D85" t="s">
        <v>848</v>
      </c>
      <c r="E85" t="s">
        <v>948</v>
      </c>
      <c r="F85" t="s">
        <v>949</v>
      </c>
      <c r="H85" t="e">
        <v>#N/A</v>
      </c>
      <c r="J85" t="e">
        <v>#N/A</v>
      </c>
      <c r="K85" t="e">
        <v>#N/A</v>
      </c>
      <c r="L85" t="e">
        <v>#N/A</v>
      </c>
    </row>
    <row r="86" spans="1:12" x14ac:dyDescent="0.25">
      <c r="A86">
        <v>1061802875</v>
      </c>
      <c r="C86" t="s">
        <v>941</v>
      </c>
      <c r="D86" t="s">
        <v>950</v>
      </c>
      <c r="E86" t="s">
        <v>951</v>
      </c>
      <c r="F86" t="s">
        <v>952</v>
      </c>
      <c r="H86" t="e">
        <v>#N/A</v>
      </c>
      <c r="J86" t="e">
        <v>#N/A</v>
      </c>
      <c r="K86" t="e">
        <v>#N/A</v>
      </c>
      <c r="L86" t="e">
        <v>#N/A</v>
      </c>
    </row>
    <row r="87" spans="1:12" x14ac:dyDescent="0.25">
      <c r="A87">
        <v>1083896745</v>
      </c>
      <c r="C87" t="s">
        <v>919</v>
      </c>
      <c r="D87" t="s">
        <v>744</v>
      </c>
      <c r="E87" t="s">
        <v>951</v>
      </c>
      <c r="H87" t="e">
        <v>#N/A</v>
      </c>
      <c r="J87" t="e">
        <v>#N/A</v>
      </c>
      <c r="K87" t="e">
        <v>#N/A</v>
      </c>
      <c r="L87" t="e">
        <v>#N/A</v>
      </c>
    </row>
    <row r="88" spans="1:12" x14ac:dyDescent="0.25">
      <c r="A88">
        <v>1085262104</v>
      </c>
      <c r="C88" t="s">
        <v>721</v>
      </c>
      <c r="D88" t="s">
        <v>953</v>
      </c>
      <c r="E88" t="s">
        <v>898</v>
      </c>
      <c r="F88" t="s">
        <v>747</v>
      </c>
      <c r="H88" t="e">
        <v>#N/A</v>
      </c>
      <c r="J88" t="e">
        <v>#N/A</v>
      </c>
      <c r="K88" t="e">
        <v>#N/A</v>
      </c>
      <c r="L88" t="e">
        <v>#N/A</v>
      </c>
    </row>
    <row r="89" spans="1:12" x14ac:dyDescent="0.25">
      <c r="A89">
        <v>1085284432</v>
      </c>
      <c r="C89" t="s">
        <v>819</v>
      </c>
      <c r="D89" t="s">
        <v>697</v>
      </c>
      <c r="E89" t="s">
        <v>954</v>
      </c>
      <c r="F89" t="s">
        <v>955</v>
      </c>
      <c r="H89" t="e">
        <v>#N/A</v>
      </c>
      <c r="J89" t="e">
        <v>#N/A</v>
      </c>
      <c r="K89" t="e">
        <v>#N/A</v>
      </c>
      <c r="L89" t="e">
        <v>#N/A</v>
      </c>
    </row>
    <row r="90" spans="1:12" x14ac:dyDescent="0.25">
      <c r="A90">
        <v>1111195709</v>
      </c>
      <c r="C90" t="s">
        <v>803</v>
      </c>
      <c r="D90" t="s">
        <v>712</v>
      </c>
      <c r="E90" t="s">
        <v>959</v>
      </c>
      <c r="F90" t="s">
        <v>960</v>
      </c>
      <c r="H90" t="e">
        <v>#N/A</v>
      </c>
      <c r="J90" t="e">
        <v>#N/A</v>
      </c>
      <c r="K90" t="e">
        <v>#N/A</v>
      </c>
      <c r="L90" t="e">
        <v>#N/A</v>
      </c>
    </row>
    <row r="91" spans="1:12" x14ac:dyDescent="0.25">
      <c r="A91">
        <v>1121507475</v>
      </c>
      <c r="C91" t="s">
        <v>721</v>
      </c>
      <c r="D91" t="s">
        <v>966</v>
      </c>
      <c r="E91" t="s">
        <v>695</v>
      </c>
      <c r="F91" t="s">
        <v>733</v>
      </c>
      <c r="H91" t="e">
        <v>#N/A</v>
      </c>
      <c r="J91" t="e">
        <v>#N/A</v>
      </c>
      <c r="K91" t="e">
        <v>#N/A</v>
      </c>
      <c r="L91" t="e">
        <v>#N/A</v>
      </c>
    </row>
    <row r="92" spans="1:12" x14ac:dyDescent="0.25">
      <c r="A92">
        <v>1122726016</v>
      </c>
      <c r="C92" t="s">
        <v>967</v>
      </c>
      <c r="D92" t="s">
        <v>968</v>
      </c>
      <c r="E92" t="s">
        <v>969</v>
      </c>
      <c r="H92" t="e">
        <v>#N/A</v>
      </c>
      <c r="J92" t="e">
        <v>#N/A</v>
      </c>
      <c r="K92" t="e">
        <v>#N/A</v>
      </c>
      <c r="L92" t="e">
        <v>#N/A</v>
      </c>
    </row>
    <row r="93" spans="1:12" x14ac:dyDescent="0.25">
      <c r="A93">
        <v>1122782339</v>
      </c>
      <c r="C93" t="s">
        <v>972</v>
      </c>
      <c r="D93" t="s">
        <v>961</v>
      </c>
      <c r="E93" t="s">
        <v>706</v>
      </c>
      <c r="F93" t="s">
        <v>973</v>
      </c>
      <c r="H93" t="e">
        <v>#N/A</v>
      </c>
      <c r="J93" t="e">
        <v>#N/A</v>
      </c>
      <c r="K93" t="e">
        <v>#N/A</v>
      </c>
      <c r="L93" t="e">
        <v>#N/A</v>
      </c>
    </row>
    <row r="94" spans="1:12" x14ac:dyDescent="0.25">
      <c r="A94">
        <v>1122783552</v>
      </c>
      <c r="C94" t="s">
        <v>917</v>
      </c>
      <c r="D94" t="s">
        <v>787</v>
      </c>
      <c r="E94" t="s">
        <v>978</v>
      </c>
      <c r="F94" t="s">
        <v>979</v>
      </c>
      <c r="H94" t="e">
        <v>#N/A</v>
      </c>
      <c r="J94" t="e">
        <v>#N/A</v>
      </c>
      <c r="K94" t="e">
        <v>#N/A</v>
      </c>
      <c r="L94" t="e">
        <v>#N/A</v>
      </c>
    </row>
    <row r="95" spans="1:12" x14ac:dyDescent="0.25">
      <c r="A95">
        <v>1122786617</v>
      </c>
      <c r="C95" t="s">
        <v>871</v>
      </c>
      <c r="D95" t="s">
        <v>982</v>
      </c>
      <c r="E95" t="s">
        <v>983</v>
      </c>
      <c r="F95" t="s">
        <v>984</v>
      </c>
      <c r="H95" t="e">
        <v>#N/A</v>
      </c>
      <c r="J95" t="e">
        <v>#N/A</v>
      </c>
      <c r="K95" t="e">
        <v>#N/A</v>
      </c>
      <c r="L95" t="e">
        <v>#N/A</v>
      </c>
    </row>
    <row r="96" spans="1:12" x14ac:dyDescent="0.25">
      <c r="A96">
        <v>1123304764</v>
      </c>
      <c r="C96" t="s">
        <v>803</v>
      </c>
      <c r="D96" t="s">
        <v>993</v>
      </c>
      <c r="E96" t="s">
        <v>994</v>
      </c>
      <c r="F96" t="s">
        <v>995</v>
      </c>
      <c r="H96" t="e">
        <v>#N/A</v>
      </c>
      <c r="J96" t="e">
        <v>#N/A</v>
      </c>
      <c r="K96" t="e">
        <v>#N/A</v>
      </c>
      <c r="L96" t="e">
        <v>#N/A</v>
      </c>
    </row>
    <row r="97" spans="1:12" x14ac:dyDescent="0.25">
      <c r="A97">
        <v>1123321998</v>
      </c>
      <c r="C97" t="s">
        <v>1003</v>
      </c>
      <c r="D97" t="s">
        <v>1004</v>
      </c>
      <c r="E97" t="s">
        <v>1005</v>
      </c>
      <c r="H97" t="e">
        <v>#N/A</v>
      </c>
      <c r="J97" t="e">
        <v>#N/A</v>
      </c>
      <c r="K97" t="e">
        <v>#N/A</v>
      </c>
      <c r="L97" t="e">
        <v>#N/A</v>
      </c>
    </row>
    <row r="98" spans="1:12" x14ac:dyDescent="0.25">
      <c r="A98">
        <v>1123327258</v>
      </c>
      <c r="C98" t="s">
        <v>851</v>
      </c>
      <c r="D98" t="s">
        <v>1008</v>
      </c>
      <c r="E98" t="s">
        <v>753</v>
      </c>
      <c r="F98" t="s">
        <v>1009</v>
      </c>
      <c r="H98" t="e">
        <v>#N/A</v>
      </c>
      <c r="J98" t="e">
        <v>#N/A</v>
      </c>
      <c r="K98" t="e">
        <v>#N/A</v>
      </c>
      <c r="L98" t="e">
        <v>#N/A</v>
      </c>
    </row>
    <row r="99" spans="1:12" x14ac:dyDescent="0.25">
      <c r="A99">
        <v>1123331500</v>
      </c>
      <c r="C99" t="s">
        <v>841</v>
      </c>
      <c r="D99" t="s">
        <v>920</v>
      </c>
      <c r="E99" t="s">
        <v>703</v>
      </c>
      <c r="F99" t="s">
        <v>747</v>
      </c>
      <c r="H99" t="e">
        <v>#N/A</v>
      </c>
      <c r="J99" t="e">
        <v>#N/A</v>
      </c>
      <c r="K99" t="e">
        <v>#N/A</v>
      </c>
      <c r="L99" t="e">
        <v>#N/A</v>
      </c>
    </row>
    <row r="100" spans="1:12" x14ac:dyDescent="0.25">
      <c r="A100">
        <v>1124848865</v>
      </c>
      <c r="C100" t="s">
        <v>1011</v>
      </c>
      <c r="D100" t="s">
        <v>861</v>
      </c>
      <c r="E100" t="s">
        <v>1012</v>
      </c>
      <c r="F100" t="s">
        <v>1013</v>
      </c>
      <c r="H100" t="e">
        <v>#N/A</v>
      </c>
      <c r="J100" t="e">
        <v>#N/A</v>
      </c>
      <c r="K100" t="e">
        <v>#N/A</v>
      </c>
      <c r="L100" t="e">
        <v>#N/A</v>
      </c>
    </row>
    <row r="101" spans="1:12" x14ac:dyDescent="0.25">
      <c r="A101">
        <v>1124849956</v>
      </c>
      <c r="C101" t="s">
        <v>1014</v>
      </c>
      <c r="D101" t="s">
        <v>861</v>
      </c>
      <c r="E101" t="s">
        <v>1015</v>
      </c>
      <c r="F101" t="s">
        <v>907</v>
      </c>
      <c r="H101" t="e">
        <v>#N/A</v>
      </c>
      <c r="J101" t="e">
        <v>#N/A</v>
      </c>
      <c r="K101" t="e">
        <v>#N/A</v>
      </c>
      <c r="L101" t="e">
        <v>#N/A</v>
      </c>
    </row>
    <row r="102" spans="1:12" x14ac:dyDescent="0.25">
      <c r="A102">
        <v>1124850208</v>
      </c>
      <c r="C102" t="s">
        <v>749</v>
      </c>
      <c r="D102" t="s">
        <v>803</v>
      </c>
      <c r="E102" t="s">
        <v>1016</v>
      </c>
      <c r="F102" t="s">
        <v>971</v>
      </c>
      <c r="H102" t="e">
        <v>#N/A</v>
      </c>
      <c r="J102" t="e">
        <v>#N/A</v>
      </c>
      <c r="K102" t="e">
        <v>#N/A</v>
      </c>
      <c r="L102" t="e">
        <v>#N/A</v>
      </c>
    </row>
    <row r="103" spans="1:12" x14ac:dyDescent="0.25">
      <c r="A103">
        <v>1124855581</v>
      </c>
      <c r="C103" t="s">
        <v>962</v>
      </c>
      <c r="D103" t="s">
        <v>1027</v>
      </c>
      <c r="E103" t="s">
        <v>1028</v>
      </c>
      <c r="H103" t="e">
        <v>#N/A</v>
      </c>
      <c r="J103" t="e">
        <v>#N/A</v>
      </c>
      <c r="K103" t="e">
        <v>#N/A</v>
      </c>
      <c r="L103" t="e">
        <v>#N/A</v>
      </c>
    </row>
    <row r="104" spans="1:12" x14ac:dyDescent="0.25">
      <c r="A104">
        <v>1126003236</v>
      </c>
      <c r="C104" t="s">
        <v>1030</v>
      </c>
      <c r="D104" t="s">
        <v>1031</v>
      </c>
      <c r="E104" t="s">
        <v>1032</v>
      </c>
      <c r="F104" t="s">
        <v>1033</v>
      </c>
      <c r="H104" t="e">
        <v>#N/A</v>
      </c>
      <c r="J104" t="e">
        <v>#N/A</v>
      </c>
      <c r="K104" t="e">
        <v>#N/A</v>
      </c>
      <c r="L104" t="e">
        <v>#N/A</v>
      </c>
    </row>
    <row r="105" spans="1:12" x14ac:dyDescent="0.25">
      <c r="A105">
        <v>1126452319</v>
      </c>
      <c r="C105" t="s">
        <v>1034</v>
      </c>
      <c r="D105" t="s">
        <v>787</v>
      </c>
      <c r="E105" t="s">
        <v>1035</v>
      </c>
      <c r="F105" t="s">
        <v>1036</v>
      </c>
      <c r="H105" t="e">
        <v>#N/A</v>
      </c>
      <c r="J105" t="e">
        <v>#N/A</v>
      </c>
      <c r="K105" t="e">
        <v>#N/A</v>
      </c>
      <c r="L105" t="e">
        <v>#N/A</v>
      </c>
    </row>
    <row r="106" spans="1:12" x14ac:dyDescent="0.25">
      <c r="A106">
        <v>1126452881</v>
      </c>
      <c r="C106" t="s">
        <v>880</v>
      </c>
      <c r="D106" t="s">
        <v>1037</v>
      </c>
      <c r="E106" t="s">
        <v>1038</v>
      </c>
      <c r="F106" t="s">
        <v>925</v>
      </c>
      <c r="H106" t="e">
        <v>#N/A</v>
      </c>
      <c r="J106" t="e">
        <v>#N/A</v>
      </c>
      <c r="K106" t="e">
        <v>#N/A</v>
      </c>
      <c r="L106" t="e">
        <v>#N/A</v>
      </c>
    </row>
    <row r="107" spans="1:12" x14ac:dyDescent="0.25">
      <c r="A107">
        <v>1126453263</v>
      </c>
      <c r="C107" t="s">
        <v>803</v>
      </c>
      <c r="D107" t="s">
        <v>1039</v>
      </c>
      <c r="E107" t="s">
        <v>814</v>
      </c>
      <c r="H107" t="e">
        <v>#N/A</v>
      </c>
      <c r="J107" t="e">
        <v>#N/A</v>
      </c>
      <c r="K107" t="e">
        <v>#N/A</v>
      </c>
      <c r="L107" t="e">
        <v>#N/A</v>
      </c>
    </row>
    <row r="108" spans="1:12" x14ac:dyDescent="0.25">
      <c r="A108">
        <v>1126453614</v>
      </c>
      <c r="C108" t="s">
        <v>724</v>
      </c>
      <c r="D108" t="s">
        <v>746</v>
      </c>
      <c r="E108" t="s">
        <v>1040</v>
      </c>
      <c r="F108" t="s">
        <v>1041</v>
      </c>
      <c r="H108" t="e">
        <v>#N/A</v>
      </c>
      <c r="J108" t="e">
        <v>#N/A</v>
      </c>
      <c r="K108" t="e">
        <v>#N/A</v>
      </c>
      <c r="L108" t="e">
        <v>#N/A</v>
      </c>
    </row>
    <row r="109" spans="1:12" x14ac:dyDescent="0.25">
      <c r="A109">
        <v>1127070897</v>
      </c>
      <c r="C109" t="s">
        <v>1042</v>
      </c>
      <c r="D109" t="s">
        <v>795</v>
      </c>
      <c r="E109" t="s">
        <v>1043</v>
      </c>
      <c r="F109" t="s">
        <v>1012</v>
      </c>
      <c r="H109" t="e">
        <v>#N/A</v>
      </c>
      <c r="J109" t="e">
        <v>#N/A</v>
      </c>
      <c r="K109" t="e">
        <v>#N/A</v>
      </c>
      <c r="L109" t="e">
        <v>#N/A</v>
      </c>
    </row>
    <row r="110" spans="1:12" x14ac:dyDescent="0.25">
      <c r="A110">
        <v>1143984736</v>
      </c>
      <c r="C110" t="s">
        <v>761</v>
      </c>
      <c r="D110" t="s">
        <v>819</v>
      </c>
      <c r="E110" t="s">
        <v>753</v>
      </c>
      <c r="F110" t="s">
        <v>1044</v>
      </c>
      <c r="H110" t="e">
        <v>#N/A</v>
      </c>
      <c r="J110" t="e">
        <v>#N/A</v>
      </c>
      <c r="K110" t="e">
        <v>#N/A</v>
      </c>
      <c r="L110" t="e">
        <v>#N/A</v>
      </c>
    </row>
    <row r="111" spans="1:12" x14ac:dyDescent="0.25">
      <c r="A111">
        <v>1123317181</v>
      </c>
      <c r="C111" t="s">
        <v>996</v>
      </c>
      <c r="D111" t="s">
        <v>997</v>
      </c>
      <c r="E111" t="s">
        <v>998</v>
      </c>
      <c r="F111" t="s">
        <v>999</v>
      </c>
      <c r="H111" t="s">
        <v>1145</v>
      </c>
      <c r="J111" t="s">
        <v>1064</v>
      </c>
      <c r="K111">
        <v>3138690925</v>
      </c>
      <c r="L111" t="s">
        <v>1146</v>
      </c>
    </row>
    <row r="112" spans="1:12" x14ac:dyDescent="0.25">
      <c r="A112">
        <v>26424871</v>
      </c>
      <c r="C112" t="s">
        <v>801</v>
      </c>
      <c r="D112" t="s">
        <v>801</v>
      </c>
      <c r="E112" t="s">
        <v>802</v>
      </c>
      <c r="H112" t="s">
        <v>1084</v>
      </c>
      <c r="J112" t="s">
        <v>1056</v>
      </c>
      <c r="K112">
        <v>3125399739</v>
      </c>
      <c r="L112" t="s">
        <v>1085</v>
      </c>
    </row>
    <row r="113" spans="1:12" x14ac:dyDescent="0.25">
      <c r="A113">
        <v>18153926</v>
      </c>
      <c r="C113" t="s">
        <v>783</v>
      </c>
      <c r="D113" t="s">
        <v>729</v>
      </c>
      <c r="E113" t="s">
        <v>784</v>
      </c>
      <c r="F113" t="s">
        <v>785</v>
      </c>
      <c r="H113" t="s">
        <v>1078</v>
      </c>
      <c r="J113" t="s">
        <v>1056</v>
      </c>
      <c r="K113">
        <v>3112975211</v>
      </c>
      <c r="L113" t="s">
        <v>1079</v>
      </c>
    </row>
    <row r="114" spans="1:12" x14ac:dyDescent="0.25">
      <c r="A114">
        <v>69009268</v>
      </c>
      <c r="C114" t="s">
        <v>876</v>
      </c>
      <c r="D114" t="s">
        <v>877</v>
      </c>
      <c r="E114" t="s">
        <v>878</v>
      </c>
      <c r="F114" t="s">
        <v>879</v>
      </c>
      <c r="H114" t="s">
        <v>1104</v>
      </c>
      <c r="J114" t="s">
        <v>1067</v>
      </c>
      <c r="K114">
        <v>3125123400</v>
      </c>
      <c r="L114" t="s">
        <v>1105</v>
      </c>
    </row>
    <row r="115" spans="1:12" x14ac:dyDescent="0.25">
      <c r="A115">
        <v>66866584</v>
      </c>
      <c r="C115" t="s">
        <v>869</v>
      </c>
      <c r="D115" t="s">
        <v>847</v>
      </c>
      <c r="E115" t="s">
        <v>870</v>
      </c>
      <c r="H115" t="s">
        <v>1100</v>
      </c>
      <c r="J115" t="s">
        <v>1096</v>
      </c>
      <c r="K115">
        <v>3108162437</v>
      </c>
      <c r="L115" t="s">
        <v>1101</v>
      </c>
    </row>
    <row r="116" spans="1:12" x14ac:dyDescent="0.25">
      <c r="A116">
        <v>18147224</v>
      </c>
      <c r="C116" t="s">
        <v>779</v>
      </c>
      <c r="D116" t="s">
        <v>780</v>
      </c>
      <c r="E116" t="s">
        <v>781</v>
      </c>
      <c r="F116" t="s">
        <v>782</v>
      </c>
      <c r="H116" t="s">
        <v>1075</v>
      </c>
      <c r="J116" t="s">
        <v>1076</v>
      </c>
      <c r="K116">
        <v>3213079133</v>
      </c>
      <c r="L116" t="s">
        <v>1077</v>
      </c>
    </row>
    <row r="117" spans="1:12" x14ac:dyDescent="0.25">
      <c r="A117">
        <v>38196120</v>
      </c>
      <c r="C117" t="s">
        <v>705</v>
      </c>
      <c r="D117" t="s">
        <v>819</v>
      </c>
      <c r="E117" t="s">
        <v>820</v>
      </c>
      <c r="F117" t="s">
        <v>821</v>
      </c>
      <c r="H117" t="s">
        <v>1091</v>
      </c>
      <c r="J117" t="s">
        <v>1076</v>
      </c>
      <c r="K117">
        <v>3147309332</v>
      </c>
      <c r="L117" t="s">
        <v>1092</v>
      </c>
    </row>
    <row r="118" spans="1:12" x14ac:dyDescent="0.25">
      <c r="A118">
        <v>1123328208</v>
      </c>
      <c r="C118" t="s">
        <v>776</v>
      </c>
      <c r="D118" t="s">
        <v>1010</v>
      </c>
      <c r="E118" t="s">
        <v>719</v>
      </c>
      <c r="F118" t="s">
        <v>925</v>
      </c>
      <c r="H118" t="s">
        <v>1151</v>
      </c>
      <c r="J118" t="s">
        <v>1096</v>
      </c>
      <c r="K118">
        <v>3185771610</v>
      </c>
      <c r="L118" t="s">
        <v>1152</v>
      </c>
    </row>
    <row r="119" spans="1:12" x14ac:dyDescent="0.25">
      <c r="A119">
        <v>1124861395</v>
      </c>
      <c r="C119" t="s">
        <v>1004</v>
      </c>
      <c r="D119" t="s">
        <v>761</v>
      </c>
      <c r="E119" t="s">
        <v>1029</v>
      </c>
      <c r="F119" t="s">
        <v>882</v>
      </c>
      <c r="H119" t="s">
        <v>1159</v>
      </c>
      <c r="J119" t="s">
        <v>1067</v>
      </c>
      <c r="K119">
        <v>3219857798</v>
      </c>
      <c r="L119" t="s">
        <v>1160</v>
      </c>
    </row>
    <row r="120" spans="1:12" x14ac:dyDescent="0.25">
      <c r="A120">
        <v>1124850571</v>
      </c>
      <c r="C120" t="s">
        <v>1017</v>
      </c>
      <c r="D120" t="s">
        <v>746</v>
      </c>
      <c r="E120" t="s">
        <v>1018</v>
      </c>
      <c r="F120" t="s">
        <v>1019</v>
      </c>
      <c r="H120" t="s">
        <v>1153</v>
      </c>
      <c r="J120" t="s">
        <v>1067</v>
      </c>
      <c r="K120">
        <v>3187546964</v>
      </c>
      <c r="L120" t="s">
        <v>1154</v>
      </c>
    </row>
    <row r="121" spans="1:12" x14ac:dyDescent="0.25">
      <c r="A121">
        <v>69005416</v>
      </c>
      <c r="C121" t="s">
        <v>755</v>
      </c>
      <c r="D121" t="s">
        <v>871</v>
      </c>
      <c r="E121" t="s">
        <v>872</v>
      </c>
      <c r="H121" t="s">
        <v>1102</v>
      </c>
      <c r="J121" t="s">
        <v>1076</v>
      </c>
      <c r="K121">
        <v>3227760365</v>
      </c>
      <c r="L121" t="s">
        <v>1103</v>
      </c>
    </row>
    <row r="122" spans="1:12" x14ac:dyDescent="0.25">
      <c r="A122">
        <v>1123320083</v>
      </c>
      <c r="C122" t="s">
        <v>1000</v>
      </c>
      <c r="D122" t="s">
        <v>793</v>
      </c>
      <c r="E122" t="s">
        <v>1001</v>
      </c>
      <c r="F122" t="s">
        <v>1002</v>
      </c>
      <c r="H122" t="s">
        <v>1147</v>
      </c>
      <c r="J122" t="s">
        <v>1056</v>
      </c>
      <c r="K122">
        <v>3144303266</v>
      </c>
      <c r="L122" t="s">
        <v>1148</v>
      </c>
    </row>
    <row r="123" spans="1:12" x14ac:dyDescent="0.25">
      <c r="A123">
        <v>979514</v>
      </c>
      <c r="C123" t="s">
        <v>689</v>
      </c>
      <c r="D123" t="s">
        <v>690</v>
      </c>
      <c r="E123" t="s">
        <v>691</v>
      </c>
      <c r="F123" t="s">
        <v>692</v>
      </c>
      <c r="H123" t="s">
        <v>1055</v>
      </c>
      <c r="J123" t="s">
        <v>1056</v>
      </c>
      <c r="K123">
        <v>3125192904</v>
      </c>
      <c r="L123" t="s">
        <v>1057</v>
      </c>
    </row>
    <row r="124" spans="1:12" x14ac:dyDescent="0.25">
      <c r="A124">
        <v>18162933</v>
      </c>
      <c r="C124" t="s">
        <v>789</v>
      </c>
      <c r="D124" t="s">
        <v>790</v>
      </c>
      <c r="E124" t="s">
        <v>791</v>
      </c>
      <c r="F124" t="s">
        <v>707</v>
      </c>
      <c r="H124" t="s">
        <v>1080</v>
      </c>
      <c r="J124" t="s">
        <v>1076</v>
      </c>
      <c r="K124">
        <v>3137002257</v>
      </c>
      <c r="L124" t="s">
        <v>1081</v>
      </c>
    </row>
    <row r="125" spans="1:12" x14ac:dyDescent="0.25">
      <c r="A125">
        <v>18126313</v>
      </c>
      <c r="C125" t="s">
        <v>751</v>
      </c>
      <c r="D125" t="s">
        <v>752</v>
      </c>
      <c r="E125" t="s">
        <v>753</v>
      </c>
      <c r="F125" t="s">
        <v>754</v>
      </c>
      <c r="H125" t="s">
        <v>1069</v>
      </c>
      <c r="J125" t="s">
        <v>1056</v>
      </c>
      <c r="K125">
        <v>3114750704</v>
      </c>
      <c r="L125" t="s">
        <v>1070</v>
      </c>
    </row>
    <row r="126" spans="1:12" x14ac:dyDescent="0.25">
      <c r="A126">
        <v>1123323004</v>
      </c>
      <c r="C126" t="s">
        <v>698</v>
      </c>
      <c r="D126" t="s">
        <v>762</v>
      </c>
      <c r="E126" t="s">
        <v>1006</v>
      </c>
      <c r="F126" t="s">
        <v>1007</v>
      </c>
      <c r="H126" t="s">
        <v>1149</v>
      </c>
      <c r="J126" t="s">
        <v>1096</v>
      </c>
      <c r="K126">
        <v>3132719176</v>
      </c>
      <c r="L126" t="s">
        <v>1150</v>
      </c>
    </row>
    <row r="127" spans="1:12" x14ac:dyDescent="0.25">
      <c r="A127">
        <v>1124853065</v>
      </c>
      <c r="C127" t="s">
        <v>1023</v>
      </c>
      <c r="D127" t="s">
        <v>1024</v>
      </c>
      <c r="E127" t="s">
        <v>1025</v>
      </c>
      <c r="F127" t="s">
        <v>1026</v>
      </c>
      <c r="H127" t="s">
        <v>1157</v>
      </c>
      <c r="J127" t="s">
        <v>1067</v>
      </c>
      <c r="K127">
        <v>3118508366</v>
      </c>
      <c r="L127" t="s">
        <v>1158</v>
      </c>
    </row>
    <row r="128" spans="1:12" x14ac:dyDescent="0.25">
      <c r="A128">
        <v>93395345</v>
      </c>
      <c r="C128" t="s">
        <v>793</v>
      </c>
      <c r="D128" t="s">
        <v>906</v>
      </c>
      <c r="E128" t="s">
        <v>719</v>
      </c>
      <c r="F128" t="s">
        <v>907</v>
      </c>
      <c r="H128" t="s">
        <v>1112</v>
      </c>
      <c r="J128" t="s">
        <v>1096</v>
      </c>
      <c r="K128">
        <v>3143888663</v>
      </c>
      <c r="L128" t="s">
        <v>1113</v>
      </c>
    </row>
    <row r="129" spans="1:12" x14ac:dyDescent="0.25">
      <c r="A129">
        <v>18126274</v>
      </c>
      <c r="C129" t="s">
        <v>748</v>
      </c>
      <c r="D129" t="s">
        <v>749</v>
      </c>
      <c r="E129" t="s">
        <v>750</v>
      </c>
      <c r="H129" t="s">
        <v>1066</v>
      </c>
      <c r="J129" t="s">
        <v>1067</v>
      </c>
      <c r="K129">
        <v>3143532309</v>
      </c>
      <c r="L129" t="s">
        <v>1068</v>
      </c>
    </row>
    <row r="130" spans="1:12" x14ac:dyDescent="0.25">
      <c r="A130">
        <v>69055379</v>
      </c>
      <c r="C130" t="s">
        <v>832</v>
      </c>
      <c r="D130" t="s">
        <v>884</v>
      </c>
      <c r="E130" t="s">
        <v>804</v>
      </c>
      <c r="F130" t="s">
        <v>826</v>
      </c>
      <c r="H130" t="s">
        <v>1108</v>
      </c>
      <c r="J130" t="s">
        <v>1089</v>
      </c>
      <c r="K130">
        <v>3136731034</v>
      </c>
      <c r="L130" t="s">
        <v>1109</v>
      </c>
    </row>
    <row r="131" spans="1:12" x14ac:dyDescent="0.25">
      <c r="A131">
        <v>1112467509</v>
      </c>
      <c r="C131" t="s">
        <v>961</v>
      </c>
      <c r="D131" t="s">
        <v>962</v>
      </c>
      <c r="E131" t="s">
        <v>963</v>
      </c>
      <c r="F131" t="s">
        <v>964</v>
      </c>
      <c r="H131" t="s">
        <v>1125</v>
      </c>
      <c r="J131" t="s">
        <v>1067</v>
      </c>
      <c r="K131">
        <v>3115923125</v>
      </c>
      <c r="L131" t="s">
        <v>1126</v>
      </c>
    </row>
    <row r="132" spans="1:12" x14ac:dyDescent="0.25">
      <c r="A132">
        <v>1123207144</v>
      </c>
      <c r="C132" t="s">
        <v>793</v>
      </c>
      <c r="D132" t="s">
        <v>987</v>
      </c>
      <c r="E132" t="s">
        <v>988</v>
      </c>
      <c r="F132" t="s">
        <v>989</v>
      </c>
      <c r="H132" t="s">
        <v>1141</v>
      </c>
      <c r="J132" t="s">
        <v>1064</v>
      </c>
      <c r="K132">
        <v>3113065646</v>
      </c>
      <c r="L132" t="s">
        <v>1142</v>
      </c>
    </row>
    <row r="133" spans="1:12" x14ac:dyDescent="0.25">
      <c r="A133">
        <v>40079253</v>
      </c>
      <c r="C133" t="s">
        <v>822</v>
      </c>
      <c r="D133" t="s">
        <v>823</v>
      </c>
      <c r="E133" t="s">
        <v>825</v>
      </c>
      <c r="H133" t="s">
        <v>1093</v>
      </c>
      <c r="J133" t="s">
        <v>1067</v>
      </c>
      <c r="K133">
        <v>3112019391</v>
      </c>
      <c r="L133" t="s">
        <v>1094</v>
      </c>
    </row>
    <row r="134" spans="1:12" x14ac:dyDescent="0.25">
      <c r="A134">
        <v>1004677850</v>
      </c>
      <c r="C134" t="s">
        <v>932</v>
      </c>
      <c r="D134" t="s">
        <v>933</v>
      </c>
      <c r="E134" t="s">
        <v>934</v>
      </c>
      <c r="F134" t="s">
        <v>935</v>
      </c>
      <c r="H134" t="s">
        <v>1118</v>
      </c>
      <c r="J134" t="s">
        <v>1056</v>
      </c>
      <c r="K134">
        <v>3138611227</v>
      </c>
      <c r="L134" t="s">
        <v>1119</v>
      </c>
    </row>
    <row r="135" spans="1:12" x14ac:dyDescent="0.25">
      <c r="A135">
        <v>93400947</v>
      </c>
      <c r="C135" t="s">
        <v>908</v>
      </c>
      <c r="D135" t="s">
        <v>803</v>
      </c>
      <c r="E135" t="s">
        <v>909</v>
      </c>
      <c r="H135" t="s">
        <v>1114</v>
      </c>
      <c r="J135" t="s">
        <v>1056</v>
      </c>
      <c r="K135">
        <v>3104868984</v>
      </c>
      <c r="L135" t="s">
        <v>1115</v>
      </c>
    </row>
    <row r="136" spans="1:12" x14ac:dyDescent="0.25">
      <c r="A136">
        <v>12748219</v>
      </c>
      <c r="C136" t="s">
        <v>708</v>
      </c>
      <c r="D136" t="s">
        <v>709</v>
      </c>
      <c r="E136" t="s">
        <v>695</v>
      </c>
      <c r="F136" t="s">
        <v>710</v>
      </c>
      <c r="H136" t="s">
        <v>1061</v>
      </c>
      <c r="J136" t="s">
        <v>928</v>
      </c>
      <c r="K136">
        <v>3116143969</v>
      </c>
      <c r="L136" t="s">
        <v>1062</v>
      </c>
    </row>
    <row r="137" spans="1:12" x14ac:dyDescent="0.25">
      <c r="A137">
        <v>1123209939</v>
      </c>
      <c r="C137" t="s">
        <v>968</v>
      </c>
      <c r="D137" t="s">
        <v>990</v>
      </c>
      <c r="E137" t="s">
        <v>991</v>
      </c>
      <c r="F137" t="s">
        <v>992</v>
      </c>
      <c r="H137" t="s">
        <v>1143</v>
      </c>
      <c r="J137" t="s">
        <v>1064</v>
      </c>
      <c r="K137">
        <v>3187950934</v>
      </c>
      <c r="L137" t="s">
        <v>1144</v>
      </c>
    </row>
    <row r="138" spans="1:12" x14ac:dyDescent="0.25">
      <c r="A138">
        <v>1123205616</v>
      </c>
      <c r="C138" t="s">
        <v>985</v>
      </c>
      <c r="D138" t="s">
        <v>986</v>
      </c>
      <c r="E138" t="s">
        <v>781</v>
      </c>
      <c r="F138" t="s">
        <v>719</v>
      </c>
      <c r="H138" t="s">
        <v>1139</v>
      </c>
      <c r="J138" t="s">
        <v>1064</v>
      </c>
      <c r="K138">
        <v>3157763632</v>
      </c>
      <c r="L138" t="s">
        <v>1140</v>
      </c>
    </row>
    <row r="139" spans="1:12" x14ac:dyDescent="0.25">
      <c r="A139">
        <v>1122783732</v>
      </c>
      <c r="C139" t="s">
        <v>953</v>
      </c>
      <c r="D139" t="s">
        <v>932</v>
      </c>
      <c r="E139" t="s">
        <v>980</v>
      </c>
      <c r="F139" t="s">
        <v>840</v>
      </c>
      <c r="H139" t="s">
        <v>1135</v>
      </c>
      <c r="J139" t="s">
        <v>928</v>
      </c>
      <c r="K139">
        <v>3112063798</v>
      </c>
      <c r="L139" t="s">
        <v>1136</v>
      </c>
    </row>
    <row r="140" spans="1:12" x14ac:dyDescent="0.25">
      <c r="A140">
        <v>1144040582</v>
      </c>
      <c r="C140" t="s">
        <v>819</v>
      </c>
      <c r="D140" t="s">
        <v>1045</v>
      </c>
      <c r="E140" t="s">
        <v>1001</v>
      </c>
      <c r="F140" t="s">
        <v>1046</v>
      </c>
      <c r="H140" t="s">
        <v>1161</v>
      </c>
      <c r="J140" t="s">
        <v>1121</v>
      </c>
      <c r="K140">
        <v>3137765355</v>
      </c>
      <c r="L140" t="s">
        <v>1162</v>
      </c>
    </row>
    <row r="141" spans="1:12" x14ac:dyDescent="0.25">
      <c r="A141">
        <v>1124852279</v>
      </c>
      <c r="C141" t="s">
        <v>841</v>
      </c>
      <c r="D141" t="s">
        <v>1020</v>
      </c>
      <c r="E141" t="s">
        <v>1021</v>
      </c>
      <c r="F141" t="s">
        <v>1022</v>
      </c>
      <c r="H141" t="s">
        <v>1155</v>
      </c>
      <c r="J141" t="s">
        <v>1064</v>
      </c>
      <c r="K141">
        <v>3502924948</v>
      </c>
      <c r="L141" t="s">
        <v>1156</v>
      </c>
    </row>
    <row r="142" spans="1:12" x14ac:dyDescent="0.25">
      <c r="A142">
        <v>1122782361</v>
      </c>
      <c r="C142" t="s">
        <v>966</v>
      </c>
      <c r="D142" t="s">
        <v>974</v>
      </c>
      <c r="E142" t="s">
        <v>814</v>
      </c>
      <c r="H142" t="s">
        <v>1131</v>
      </c>
      <c r="J142" t="s">
        <v>928</v>
      </c>
      <c r="K142">
        <v>3202040374</v>
      </c>
      <c r="L142" t="s">
        <v>1132</v>
      </c>
    </row>
    <row r="143" spans="1:12" x14ac:dyDescent="0.25">
      <c r="A143">
        <v>14839233</v>
      </c>
      <c r="C143" t="s">
        <v>721</v>
      </c>
      <c r="D143" t="s">
        <v>722</v>
      </c>
      <c r="E143" t="s">
        <v>723</v>
      </c>
      <c r="H143" t="s">
        <v>1063</v>
      </c>
      <c r="J143" t="s">
        <v>1064</v>
      </c>
      <c r="K143">
        <v>3103964834</v>
      </c>
      <c r="L143" t="s">
        <v>1065</v>
      </c>
    </row>
    <row r="144" spans="1:12" x14ac:dyDescent="0.25">
      <c r="A144">
        <v>1085902379</v>
      </c>
      <c r="C144" t="s">
        <v>762</v>
      </c>
      <c r="D144" t="s">
        <v>956</v>
      </c>
      <c r="E144" t="s">
        <v>957</v>
      </c>
      <c r="F144" t="s">
        <v>958</v>
      </c>
      <c r="H144" t="s">
        <v>1123</v>
      </c>
      <c r="J144" t="s">
        <v>1064</v>
      </c>
      <c r="K144">
        <v>3144798110</v>
      </c>
      <c r="L144" t="s">
        <v>1124</v>
      </c>
    </row>
    <row r="145" spans="1:12" x14ac:dyDescent="0.25">
      <c r="A145">
        <v>18189441</v>
      </c>
      <c r="C145" t="s">
        <v>795</v>
      </c>
      <c r="D145" t="s">
        <v>796</v>
      </c>
      <c r="E145" t="s">
        <v>797</v>
      </c>
      <c r="H145" t="s">
        <v>1082</v>
      </c>
      <c r="J145" t="s">
        <v>1064</v>
      </c>
      <c r="K145">
        <v>3123108697</v>
      </c>
      <c r="L145" t="s">
        <v>1083</v>
      </c>
    </row>
    <row r="146" spans="1:12" x14ac:dyDescent="0.25">
      <c r="A146">
        <v>69020504</v>
      </c>
      <c r="C146" t="s">
        <v>880</v>
      </c>
      <c r="D146" t="s">
        <v>790</v>
      </c>
      <c r="E146" t="s">
        <v>881</v>
      </c>
      <c r="F146" t="s">
        <v>882</v>
      </c>
      <c r="H146" t="s">
        <v>1106</v>
      </c>
      <c r="J146" t="s">
        <v>1064</v>
      </c>
      <c r="K146">
        <v>3224583843</v>
      </c>
      <c r="L146" t="s">
        <v>1107</v>
      </c>
    </row>
    <row r="147" spans="1:12" x14ac:dyDescent="0.25">
      <c r="A147">
        <v>1122783259</v>
      </c>
      <c r="C147" t="s">
        <v>975</v>
      </c>
      <c r="D147" t="s">
        <v>976</v>
      </c>
      <c r="E147" t="s">
        <v>977</v>
      </c>
      <c r="H147" t="s">
        <v>1133</v>
      </c>
      <c r="J147" t="s">
        <v>928</v>
      </c>
      <c r="K147">
        <v>3137049879</v>
      </c>
      <c r="L147" t="s">
        <v>1134</v>
      </c>
    </row>
    <row r="148" spans="1:12" x14ac:dyDescent="0.25">
      <c r="A148">
        <v>1122782141</v>
      </c>
      <c r="C148" t="s">
        <v>790</v>
      </c>
      <c r="D148" t="s">
        <v>725</v>
      </c>
      <c r="E148" t="s">
        <v>970</v>
      </c>
      <c r="F148" t="s">
        <v>971</v>
      </c>
      <c r="H148" t="s">
        <v>1129</v>
      </c>
      <c r="J148" t="s">
        <v>928</v>
      </c>
      <c r="K148">
        <v>3204967564</v>
      </c>
      <c r="L148" t="s">
        <v>1130</v>
      </c>
    </row>
    <row r="149" spans="1:12" x14ac:dyDescent="0.25">
      <c r="A149">
        <v>89004807</v>
      </c>
      <c r="C149" t="s">
        <v>902</v>
      </c>
      <c r="D149" t="s">
        <v>903</v>
      </c>
      <c r="E149" t="s">
        <v>904</v>
      </c>
      <c r="F149" t="s">
        <v>905</v>
      </c>
      <c r="H149" t="s">
        <v>1110</v>
      </c>
      <c r="J149" t="s">
        <v>1064</v>
      </c>
      <c r="K149">
        <v>3114424805</v>
      </c>
      <c r="L149" t="s">
        <v>1111</v>
      </c>
    </row>
    <row r="150" spans="1:12" x14ac:dyDescent="0.25">
      <c r="A150">
        <v>18126542</v>
      </c>
      <c r="C150" t="s">
        <v>755</v>
      </c>
      <c r="D150" t="s">
        <v>756</v>
      </c>
      <c r="E150" t="s">
        <v>757</v>
      </c>
      <c r="H150" t="s">
        <v>1071</v>
      </c>
      <c r="J150" t="s">
        <v>1067</v>
      </c>
      <c r="K150">
        <v>3208074581</v>
      </c>
      <c r="L150" t="s">
        <v>1072</v>
      </c>
    </row>
    <row r="151" spans="1:12" x14ac:dyDescent="0.25">
      <c r="A151">
        <v>41103795</v>
      </c>
      <c r="C151" t="s">
        <v>827</v>
      </c>
      <c r="D151" t="s">
        <v>804</v>
      </c>
      <c r="E151" t="s">
        <v>828</v>
      </c>
      <c r="H151" t="s">
        <v>1095</v>
      </c>
      <c r="J151" t="s">
        <v>1096</v>
      </c>
      <c r="K151">
        <v>3124476023</v>
      </c>
      <c r="L151" t="s">
        <v>1097</v>
      </c>
    </row>
    <row r="152" spans="1:12" x14ac:dyDescent="0.25">
      <c r="A152">
        <v>1117961867</v>
      </c>
      <c r="C152" t="s">
        <v>812</v>
      </c>
      <c r="D152" t="s">
        <v>963</v>
      </c>
      <c r="E152" t="s">
        <v>965</v>
      </c>
      <c r="H152" t="s">
        <v>1127</v>
      </c>
      <c r="J152" t="s">
        <v>1121</v>
      </c>
      <c r="K152">
        <v>3138354753</v>
      </c>
      <c r="L152" t="s">
        <v>1128</v>
      </c>
    </row>
    <row r="153" spans="1:12" x14ac:dyDescent="0.25">
      <c r="A153">
        <v>1006514270</v>
      </c>
      <c r="C153" t="s">
        <v>936</v>
      </c>
      <c r="D153" t="s">
        <v>937</v>
      </c>
      <c r="E153" t="s">
        <v>720</v>
      </c>
      <c r="H153" t="s">
        <v>1120</v>
      </c>
      <c r="J153" t="s">
        <v>1121</v>
      </c>
      <c r="K153">
        <v>3203893299</v>
      </c>
      <c r="L153" t="s">
        <v>1122</v>
      </c>
    </row>
    <row r="154" spans="1:12" x14ac:dyDescent="0.25">
      <c r="A154">
        <v>5348917</v>
      </c>
      <c r="C154" t="s">
        <v>693</v>
      </c>
      <c r="D154" t="s">
        <v>694</v>
      </c>
      <c r="E154" t="s">
        <v>695</v>
      </c>
      <c r="F154" t="s">
        <v>696</v>
      </c>
      <c r="H154" t="s">
        <v>1058</v>
      </c>
      <c r="J154" t="s">
        <v>1059</v>
      </c>
      <c r="K154">
        <v>3118549424</v>
      </c>
      <c r="L154" t="s">
        <v>1060</v>
      </c>
    </row>
    <row r="155" spans="1:12" x14ac:dyDescent="0.25">
      <c r="A155">
        <v>1122785377</v>
      </c>
      <c r="C155" t="s">
        <v>861</v>
      </c>
      <c r="D155" t="s">
        <v>714</v>
      </c>
      <c r="E155" t="s">
        <v>981</v>
      </c>
      <c r="F155" t="s">
        <v>965</v>
      </c>
      <c r="H155" t="s">
        <v>1137</v>
      </c>
      <c r="J155" t="s">
        <v>928</v>
      </c>
      <c r="K155">
        <v>3219686200</v>
      </c>
      <c r="L155" t="s">
        <v>1138</v>
      </c>
    </row>
    <row r="156" spans="1:12" x14ac:dyDescent="0.25">
      <c r="A156">
        <v>30722630</v>
      </c>
      <c r="C156" t="s">
        <v>811</v>
      </c>
      <c r="D156" t="s">
        <v>812</v>
      </c>
      <c r="E156" t="s">
        <v>813</v>
      </c>
      <c r="F156" t="s">
        <v>814</v>
      </c>
      <c r="H156" t="s">
        <v>1086</v>
      </c>
      <c r="J156" t="s">
        <v>928</v>
      </c>
      <c r="K156">
        <v>3115112788</v>
      </c>
      <c r="L156" t="s">
        <v>1087</v>
      </c>
    </row>
    <row r="157" spans="1:12" x14ac:dyDescent="0.25">
      <c r="A157">
        <v>18127828</v>
      </c>
      <c r="C157" t="s">
        <v>714</v>
      </c>
      <c r="D157" t="s">
        <v>764</v>
      </c>
      <c r="E157" t="s">
        <v>765</v>
      </c>
      <c r="F157" t="s">
        <v>766</v>
      </c>
      <c r="H157" t="s">
        <v>1073</v>
      </c>
      <c r="J157" t="s">
        <v>1067</v>
      </c>
      <c r="K157">
        <v>3102656232</v>
      </c>
      <c r="L157" t="s">
        <v>1074</v>
      </c>
    </row>
    <row r="158" spans="1:12" x14ac:dyDescent="0.25">
      <c r="A158">
        <v>36752028</v>
      </c>
      <c r="C158" t="s">
        <v>815</v>
      </c>
      <c r="D158" t="s">
        <v>816</v>
      </c>
      <c r="E158" t="s">
        <v>817</v>
      </c>
      <c r="F158" t="s">
        <v>818</v>
      </c>
      <c r="H158" t="s">
        <v>1088</v>
      </c>
      <c r="J158" t="s">
        <v>1089</v>
      </c>
      <c r="K158">
        <v>3213670615</v>
      </c>
      <c r="L158" t="s">
        <v>1090</v>
      </c>
    </row>
    <row r="159" spans="1:12" x14ac:dyDescent="0.25">
      <c r="A159">
        <v>846002782</v>
      </c>
      <c r="G159" t="s">
        <v>441</v>
      </c>
      <c r="H159" t="s">
        <v>1116</v>
      </c>
      <c r="J159" t="s">
        <v>1064</v>
      </c>
      <c r="K159">
        <v>3134395608</v>
      </c>
      <c r="L159" t="s">
        <v>1117</v>
      </c>
    </row>
    <row r="160" spans="1:12" x14ac:dyDescent="0.25">
      <c r="A160">
        <v>41145258</v>
      </c>
      <c r="C160" t="s">
        <v>841</v>
      </c>
      <c r="D160" t="s">
        <v>835</v>
      </c>
      <c r="E160" t="s">
        <v>842</v>
      </c>
      <c r="F160" t="s">
        <v>814</v>
      </c>
      <c r="H160" t="s">
        <v>1098</v>
      </c>
      <c r="J160" t="s">
        <v>928</v>
      </c>
      <c r="K160">
        <v>3105804530</v>
      </c>
      <c r="L160" t="s">
        <v>1099</v>
      </c>
    </row>
  </sheetData>
  <autoFilter ref="A1:L1" xr:uid="{21A7D073-31F4-4472-A5F1-A0E46A4C4490}">
    <sortState xmlns:xlrd2="http://schemas.microsoft.com/office/spreadsheetml/2017/richdata2" ref="A2:L160">
      <sortCondition descending="1"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2448 2025</vt:lpstr>
      <vt:lpstr>MOCOAA</vt:lpstr>
      <vt:lpstr>mocoa</vt:lpstr>
      <vt:lpstr>TERCEROS 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WMOCCONTA</dc:creator>
  <cp:lastModifiedBy>WMOCCONTA</cp:lastModifiedBy>
  <dcterms:created xsi:type="dcterms:W3CDTF">2026-06-16T21:09:46Z</dcterms:created>
  <dcterms:modified xsi:type="dcterms:W3CDTF">2026-06-16T21:39:22Z</dcterms:modified>
</cp:coreProperties>
</file>